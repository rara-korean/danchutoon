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4482b2b6245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법" sheetId="1" r:id="Rf79a566769184ab7"/>
    <x:sheet xmlns:r="http://schemas.openxmlformats.org/officeDocument/2006/relationships" name="응답입력" sheetId="2" r:id="R6cf663d2b76f4ae0"/>
    <x:sheet xmlns:r="http://schemas.openxmlformats.org/officeDocument/2006/relationships" name="생각_선택지" sheetId="3" r:id="Re31fceb8997e41bb"/>
    <x:sheet xmlns:r="http://schemas.openxmlformats.org/officeDocument/2006/relationships" name="행동_선택지" sheetId="4" r:id="Rd9e7d41b11594df4"/>
    <x:sheet xmlns:r="http://schemas.openxmlformats.org/officeDocument/2006/relationships" name="결과_조합" sheetId="5" r:id="Rc2baaa146a914977"/>
    <x:sheet xmlns:r="http://schemas.openxmlformats.org/officeDocument/2006/relationships" name="판정규칙" sheetId="6" r:id="Rc06237878ad040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627D98"/>
      </x:patternFill>
    </x:fill>
    <x:fill>
      <x:patternFill patternType="solid">
        <x:fgColor rgb="FFD9EAF7"/>
      </x:patternFill>
    </x:fill>
    <x:fill>
      <x:patternFill patternType="solid">
        <x:fgColor rgb="FFE8F5E9"/>
      </x:patternFill>
    </x:fill>
    <x:fill>
      <x:patternFill patternType="solid">
        <x:fgColor rgb="FFFFF3CD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1" fillId="3" borderId="8" xfId="0" applyNumberFormat="1" applyFont="1" applyFill="1" applyBorder="1" applyAlignment="1">
      <x:alignment horizontal="center" vertical="center" wrapText="1"/>
    </x:xf>
    <x:xf numFmtId="0" fontId="1" fillId="3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1" fillId="3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1" fillId="3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5" xfId="0" applyNumberFormat="1" applyFont="1" applyFill="1" applyBorder="1"/>
    <x:xf numFmtId="0" fontId="0" fillId="4" borderId="1" xfId="0" applyNumberFormat="1" applyFont="1" applyFill="1" applyBorder="1"/>
    <x:xf numFmtId="0" fontId="0" fillId="4" borderId="17" xfId="0" applyNumberFormat="1" applyFont="1" applyFill="1" applyBorder="1"/>
    <x:xf numFmtId="0" fontId="0" fillId="5" borderId="0" xfId="0" applyNumberFormat="1" applyFont="1" applyFill="1" applyBorder="1"/>
    <x:xf numFmtId="0" fontId="0" fillId="5" borderId="15" xfId="0" applyNumberFormat="1" applyFont="1" applyFill="1" applyBorder="1"/>
    <x:xf numFmtId="0" fontId="0" fillId="5" borderId="1" xfId="0" applyNumberFormat="1" applyFont="1" applyFill="1" applyBorder="1"/>
    <x:xf numFmtId="0" fontId="0" fillId="5" borderId="17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5" xfId="0" applyNumberFormat="1" applyFont="1" applyFill="1" applyBorder="1"/>
    <x:xf numFmtId="0" fontId="0" fillId="6" borderId="1" xfId="0" applyNumberFormat="1" applyFont="1" applyFill="1" applyBorder="1"/>
    <x:xf numFmtId="0" fontId="0" fillId="6" borderId="17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4" borderId="4" xfId="0" applyNumberFormat="1" applyFont="1" applyFill="1" applyBorder="1"/>
    <x:xf numFmtId="0" fontId="0" fillId="4" borderId="6" xfId="0" applyNumberFormat="1" applyFont="1" applyFill="1" applyBorder="1"/>
    <x:xf numFmtId="0" fontId="0" fillId="4" borderId="10" xfId="0" applyNumberFormat="1" applyFont="1" applyFill="1" applyBorder="1"/>
    <x:xf numFmtId="0" fontId="0" fillId="4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11" xfId="0" applyNumberFormat="1" applyFont="1" applyFill="1" applyBorder="1"/>
    <x:xf numFmtId="200" fontId="0" fillId="0" borderId="13" xfId="0" applyNumberFormat="1" applyFont="1" applyFill="1" applyBorder="1"/>
    <x:xf numFmtId="200" fontId="0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1B5E20"/>
      </x:font>
      <x:fill>
        <x:patternFill patternType="solid">
          <x:bgColor rgb="FFE8F5E9"/>
        </x:patternFill>
      </x:fill>
    </x:dxf>
    <x:dxf>
      <x:font>
        <x:b/>
        <x:color rgb="FF0D47A1"/>
      </x:font>
      <x:fill>
        <x:patternFill patternType="solid">
          <x:bgColor rgb="FFE3F2F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201bf7e280449a" /><Relationship Type="http://schemas.openxmlformats.org/officeDocument/2006/relationships/theme" Target="/xl/theme/theme1.xml" Id="Rf516f93e28a54b8a" /><Relationship Type="http://schemas.openxmlformats.org/officeDocument/2006/relationships/sharedStrings" Target="/xl/sharedStrings.xml" Id="R3f6bc8498d424e12" /><Relationship Type="http://schemas.openxmlformats.org/officeDocument/2006/relationships/worksheet" Target="/xl/worksheets/sheet1.xml" Id="Rf79a566769184ab7" /><Relationship Type="http://schemas.openxmlformats.org/officeDocument/2006/relationships/worksheet" Target="/xl/worksheets/sheet2.xml" Id="R6cf663d2b76f4ae0" /><Relationship Type="http://schemas.openxmlformats.org/officeDocument/2006/relationships/worksheet" Target="/xl/worksheets/sheet3.xml" Id="Re31fceb8997e41bb" /><Relationship Type="http://schemas.openxmlformats.org/officeDocument/2006/relationships/worksheet" Target="/xl/worksheets/sheet4.xml" Id="Rd9e7d41b11594df4" /><Relationship Type="http://schemas.openxmlformats.org/officeDocument/2006/relationships/worksheet" Target="/xl/worksheets/sheet5.xml" Id="Rc2baaa146a914977" /><Relationship Type="http://schemas.openxmlformats.org/officeDocument/2006/relationships/worksheet" Target="/xl/worksheets/sheet6.xml" Id="Rc06237878ad040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0d66b3d100422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7유형별 이론상 최대점수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이론상 최대점수</c:v>
          </c:tx>
          <c:cat>
            <c:strRef>
              <c:f>'판정규칙'!$A$16:$A$22</c:f>
              <c:strCache>
                <c:ptCount val="0"/>
              </c:strCache>
            </c:strRef>
          </c:cat>
          <c:val>
            <c:numRef>
              <c:f>'판정규칙'!$B$16:$B$22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0d66b3d100422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houghtOptionMap" displayName="ThoughtOptionMap" ref="A1:W61" headerRowCount="1">
  <x:tableColumns count="23">
    <x:tableColumn id="1" name="키"/>
    <x:tableColumn id="2" name="상황ID"/>
    <x:tableColumn id="3" name="상황명"/>
    <x:tableColumn id="4" name="생각 문항"/>
    <x:tableColumn id="5" name="선택번호"/>
    <x:tableColumn id="6" name="응답"/>
    <x:tableColumn id="7" name="원본 주욕구"/>
    <x:tableColumn id="8" name="원본 보조욕구"/>
    <x:tableColumn id="9" name="7유형 주욕구"/>
    <x:tableColumn id="10" name="7유형 보조욕구"/>
    <x:tableColumn id="11" name="주점수"/>
    <x:tableColumn id="12" name="보조점수"/>
    <x:tableColumn id="13" name="위협활성화"/>
    <x:tableColumn id="14" name="해석스타일"/>
    <x:tableColumn id="15" name="유연한재해석점수"/>
    <x:tableColumn id="16" name="결과처리"/>
    <x:tableColumn id="17" name="안전성"/>
    <x:tableColumn id="18" name="소속감"/>
    <x:tableColumn id="19" name="특별함"/>
    <x:tableColumn id="20" name="보호자"/>
    <x:tableColumn id="21" name="독립심"/>
    <x:tableColumn id="22" name="유능함"/>
    <x:tableColumn id="23" name="성장·발전형"/>
  </x:tableColumns>
  <x:tableStyleInfo name="TableStyleMedium2" showRowStripes="1"/>
</x:table>
</file>

<file path=xl/tables/table2.xml><?xml version="1.0" encoding="utf-8"?>
<x:table xmlns:x="http://schemas.openxmlformats.org/spreadsheetml/2006/main" id="2" name="BehaviorOptionMap" displayName="BehaviorOptionMap" ref="A1:J61" headerRowCount="1">
  <x:tableColumns count="10">
    <x:tableColumn id="1" name="키"/>
    <x:tableColumn id="2" name="상황ID"/>
    <x:tableColumn id="3" name="상황명"/>
    <x:tableColumn id="4" name="행동 문항"/>
    <x:tableColumn id="5" name="선택번호"/>
    <x:tableColumn id="6" name="응답"/>
    <x:tableColumn id="7" name="전략코드"/>
    <x:tableColumn id="8" name="대응전략"/>
    <x:tableColumn id="9" name="전략점수"/>
    <x:tableColumn id="10" name="결과 표시 방식"/>
  </x:tableColumns>
  <x:tableStyleInfo name="TableStyleMedium2" showRowStripes="1"/>
</x:table>
</file>

<file path=xl/tables/table3.xml><?xml version="1.0" encoding="utf-8"?>
<x:table xmlns:x="http://schemas.openxmlformats.org/spreadsheetml/2006/main" id="3" name="ResultCombinationTable" displayName="ResultCombinationTable" ref="A1:J37" headerRowCount="1">
  <x:tableColumns count="10">
    <x:tableColumn id="1" name="결과키"/>
    <x:tableColumn id="2" name="욕구코드"/>
    <x:tableColumn id="3" name="욕구유형"/>
    <x:tableColumn id="4" name="전략코드"/>
    <x:tableColumn id="5" name="대응전략"/>
    <x:tableColumn id="6" name="결과 제목"/>
    <x:tableColumn id="7" name="욕구 위협 해설"/>
    <x:tableColumn id="8" name="전략 설명·단점/주의점"/>
    <x:tableColumn id="9" name="최종 결과문"/>
    <x:tableColumn id="10" name="표시 기준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f9b7963e8004f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7c23e0695934d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6dc5028fe7d4c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38fec11fd82443f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2" hidden="0" customWidth="1"/>
  </x:cols>
  <x:sheetData>
    <x:row r="1" ht="28" customHeight="1">
      <x:c r="A1" s="5" t="str">
        <x:v>분기형 질문2 응답–대응전략 자동 판정표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20" t="str">
        <x:v>구분</x:v>
      </x:c>
      <x:c r="B4" s="21" t="str">
        <x:v>내용</x:v>
      </x:c>
    </x:row>
    <x:row r="5">
      <x:c r="A5" s="22" t="str">
        <x:v>목적</x:v>
      </x:c>
      <x:c r="B5" s="32" t="str">
        <x:v>분기형 질문2의 생각 응답과 행동 응답을 각각 위협 욕구 7유형과 대응전략 5유형에 연결합니다.</x:v>
      </x:c>
    </x:row>
    <x:row r="6">
      <x:c r="A6" s="22" t="str">
        <x:v>사용 순서</x:v>
      </x:c>
      <x:c r="B6" s="32" t="str">
        <x:v>응답입력 시트의 노란색 칸에 생각·행동 선택번호를 입력하면 위협 욕구, 대응전략, 결과 제목과 본문이 자동 계산됩니다.</x:v>
      </x:c>
    </x:row>
    <x:row r="7">
      <x:c r="A7" s="22" t="str">
        <x:v>생각 문항</x:v>
      </x:c>
      <x:c r="B7" s="32" t="str">
        <x:v>주 욕구 4점, 보조 욕구 1점입니다. 원본의 인정(recognition)은 문맥에 따라 7유형으로 통합했습니다.</x:v>
      </x:c>
    </x:row>
    <x:row r="8">
      <x:c r="A8" s="22" t="str">
        <x:v>행동 문항</x:v>
      </x:c>
      <x:c r="B8" s="32" t="str">
        <x:v>선택한 대응전략에 4점을 부여합니다.</x:v>
      </x:c>
    </x:row>
    <x:row r="9">
      <x:c r="A9" s="22" t="str">
        <x:v>정규화</x:v>
      </x:c>
      <x:c r="B9" s="32" t="str">
        <x:v>욕구별 측정 기회가 다르므로 원점수 ÷ 유형별 이론상 최대점수로 비교합니다.</x:v>
      </x:c>
    </x:row>
    <x:row r="10">
      <x:c r="A10" s="22" t="str">
        <x:v>유연한 해석</x:v>
      </x:c>
      <x:c r="B10" s="32" t="str">
        <x:v>유연한 재해석 점수가 75% 이상이거나 욕구 위협 반응이 없으면 SECURE 결과를 표시합니다.</x:v>
      </x:c>
    </x:row>
    <x:row r="11">
      <x:c r="A11" s="22" t="str">
        <x:v>동점</x:v>
      </x:c>
      <x:c r="B11" s="32" t="str">
        <x:v>정규화 점수 차이가 5%p 이하이면 실제 서비스에서는 상위 2개 욕구 또는 전략을 함께 표시하는 방식을 권장합니다.</x:v>
      </x:c>
    </x:row>
    <x:row r="12">
      <x:c r="A12" s="22" t="str">
        <x:v>주의</x:v>
      </x:c>
      <x:c r="B12" s="32" t="str">
        <x:v>성장·발전형은 현재 한 상황에 크게 의존하므로 탐색적 결과로 표현해야 합니다.</x:v>
      </x:c>
    </x:row>
    <x:row r="13">
      <x:c r="A13" s="22" t="str">
        <x:v>문구 출처</x:v>
      </x:c>
      <x:c r="B13" s="32" t="str">
        <x:v>대응전략(1).txt</x:v>
      </x:c>
    </x:row>
    <x:row r="14">
      <x:c r="A14" s="24" t="str">
        <x:v>점수 출처</x:v>
      </x:c>
      <x:c r="B14" s="33" t="str">
        <x:v>분기형 질문2_점수.json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" hidden="0" customWidth="1"/>
    <x:col min="3" max="3" width="44" hidden="0" customWidth="1"/>
    <x:col min="4" max="4" width="12" hidden="0" customWidth="1"/>
    <x:col min="5" max="5" width="44" hidden="0" customWidth="1"/>
    <x:col min="6" max="6" width="12" hidden="0" customWidth="1"/>
    <x:col min="7" max="7" width="42" hidden="0" customWidth="1"/>
    <x:col min="8" max="8" width="42" hidden="0" customWidth="1"/>
    <x:col min="9" max="9" width="18" hidden="0" customWidth="1"/>
    <x:col min="10" max="10" width="18" hidden="0" customWidth="1"/>
    <x:col min="11" max="11" width="20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4" hidden="0" customWidth="1"/>
    <x:col min="19" max="19" width="16" hidden="0" customWidth="1"/>
    <x:col min="20" max="20" width="14" hidden="0" customWidth="1"/>
    <x:col min="22" max="22" width="22" hidden="0" customWidth="1"/>
    <x:col min="23" max="23" width="75" hidden="0" customWidth="1"/>
    <x:col min="24" max="24" width="15" hidden="0" customWidth="1"/>
    <x:col min="25" max="25" width="17" hidden="0" customWidth="1"/>
    <x:col min="27" max="27" width="22" hidden="0" customWidth="1"/>
    <x:col min="28" max="28" width="13" hidden="0" customWidth="1"/>
    <x:col min="29" max="29" width="15" hidden="0" customWidth="1"/>
  </x:cols>
  <x:sheetData>
    <x:row r="1">
      <x:c r="A1" s="5" t="str">
        <x:v>분기형 질문2 응답 입력 및 자동 결과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V1" s="5" t="str">
        <x:v>자동 판정 결과</x:v>
      </x:c>
      <x:c r="W1" s="5"/>
      <x:c r="X1" s="5"/>
      <x:c r="Y1" s="5"/>
      <x:c r="Z1" s="5"/>
      <x:c r="AA1" s="5"/>
      <x:c r="AB1" s="5"/>
      <x:c r="AC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V2" s="5"/>
      <x:c r="W2" s="5"/>
      <x:c r="X2" s="5"/>
      <x:c r="Y2" s="5"/>
      <x:c r="Z2" s="5"/>
      <x:c r="AA2" s="5"/>
      <x:c r="AB2" s="5"/>
      <x:c r="AC2" s="5"/>
    </x:row>
    <x:row r="4">
      <x:c r="A4" s="20" t="str">
        <x:v>상황ID</x:v>
      </x:c>
      <x:c r="B4" s="36" t="str">
        <x:v>상황명</x:v>
      </x:c>
      <x:c r="C4" s="36" t="str">
        <x:v>생각 문항</x:v>
      </x:c>
      <x:c r="D4" s="36" t="str">
        <x:v>생각 선택
(1~5)</x:v>
      </x:c>
      <x:c r="E4" s="36" t="str">
        <x:v>행동 문항</x:v>
      </x:c>
      <x:c r="F4" s="36" t="str">
        <x:v>행동 선택
(1~5)</x:v>
      </x:c>
      <x:c r="G4" s="36" t="str">
        <x:v>선택한 생각 응답</x:v>
      </x:c>
      <x:c r="H4" s="36" t="str">
        <x:v>선택한 행동 응답</x:v>
      </x:c>
      <x:c r="I4" s="36" t="str">
        <x:v>위협 주유형</x:v>
      </x:c>
      <x:c r="J4" s="36" t="str">
        <x:v>위협 보조유형</x:v>
      </x:c>
      <x:c r="K4" s="36" t="str">
        <x:v>대응전략</x:v>
      </x:c>
      <x:c r="L4" s="36" t="str">
        <x:v>안전성</x:v>
      </x:c>
      <x:c r="M4" s="36" t="str">
        <x:v>소속감</x:v>
      </x:c>
      <x:c r="N4" s="36" t="str">
        <x:v>특별함</x:v>
      </x:c>
      <x:c r="O4" s="36" t="str">
        <x:v>보호자</x:v>
      </x:c>
      <x:c r="P4" s="36" t="str">
        <x:v>독립심</x:v>
      </x:c>
      <x:c r="Q4" s="36" t="str">
        <x:v>유능함</x:v>
      </x:c>
      <x:c r="R4" s="36" t="str">
        <x:v>성장·발전형</x:v>
      </x:c>
      <x:c r="S4" s="36" t="str">
        <x:v>유연한재해석</x:v>
      </x:c>
      <x:c r="T4" s="21" t="str">
        <x:v>위협활성화</x:v>
      </x:c>
      <x:c r="V4" s="20" t="str">
        <x:v>항목</x:v>
      </x:c>
      <x:c r="W4" s="21" t="str">
        <x:v>자동 결과</x:v>
      </x:c>
    </x:row>
    <x:row r="5">
      <x:c r="A5" s="22" t="str">
        <x:v>S01</x:v>
      </x:c>
      <x:c r="B5" s="41" t="str">
        <x:v>질투하는 모습</x:v>
      </x:c>
      <x:c r="C5" s="41" t="str">
        <x:v>상대가 전혀 질투하지 않는다면 나는 어떤 생각이 가장 먼저 들까요?</x:v>
      </x:c>
      <x:c r="D5" s="57"/>
      <x:c r="E5" s="41" t="str">
        <x:v>상대가 전혀 질투하지 않는다면 나는 주로 어떻게 행동할까요?</x:v>
      </x:c>
      <x:c r="F5" s="61"/>
      <x:c r="G5" s="41" t="str">
        <x:f>IF(D5="","",IFERROR(VLOOKUP($A5&amp;"|"&amp;D5,'생각_선택지'!$A$2:$W$61,6,FALSE),""))</x:f>
      </x:c>
      <x:c r="H5" s="41" t="str">
        <x:f>IF(F5="","",IFERROR(VLOOKUP($A5&amp;"|"&amp;F5,'행동_선택지'!$A$2:$J$61,6,FALSE),""))</x:f>
      </x:c>
      <x:c r="I5" s="45" t="str">
        <x:f>IF(D5="","",IFERROR(VLOOKUP($A5&amp;"|"&amp;D5,'생각_선택지'!$A$2:$W$61,9,FALSE),""))</x:f>
      </x:c>
      <x:c r="J5" s="45" t="str">
        <x:f>IF(D5="","",IFERROR(VLOOKUP($A5&amp;"|"&amp;D5,'생각_선택지'!$A$2:$W$61,10,FALSE),""))</x:f>
      </x:c>
      <x:c r="K5" s="45" t="str">
        <x:f>IF(F5="","",IFERROR(VLOOKUP($A5&amp;"|"&amp;F5,'행동_선택지'!$A$2:$J$61,8,FALSE),""))</x:f>
      </x:c>
      <x:c r="L5" s="37" t="n">
        <x:f>IF(D5="",0,IFERROR(VLOOKUP($A5&amp;"|"&amp;D5,'생각_선택지'!$A$2:$W$61,17,FALSE),0))</x:f>
        <x:v>0</x:v>
      </x:c>
      <x:c r="M5" s="37" t="n">
        <x:f>IF(D5="",0,IFERROR(VLOOKUP($A5&amp;"|"&amp;D5,'생각_선택지'!$A$2:$W$61,18,FALSE),0))</x:f>
        <x:v>0</x:v>
      </x:c>
      <x:c r="N5" s="37" t="n">
        <x:f>IF(D5="",0,IFERROR(VLOOKUP($A5&amp;"|"&amp;D5,'생각_선택지'!$A$2:$W$61,19,FALSE),0))</x:f>
        <x:v>0</x:v>
      </x:c>
      <x:c r="O5" s="37" t="n">
        <x:f>IF(D5="",0,IFERROR(VLOOKUP($A5&amp;"|"&amp;D5,'생각_선택지'!$A$2:$W$61,20,FALSE),0))</x:f>
        <x:v>0</x:v>
      </x:c>
      <x:c r="P5" s="37" t="n">
        <x:f>IF(D5="",0,IFERROR(VLOOKUP($A5&amp;"|"&amp;D5,'생각_선택지'!$A$2:$W$61,21,FALSE),0))</x:f>
        <x:v>0</x:v>
      </x:c>
      <x:c r="Q5" s="37" t="n">
        <x:f>IF(D5="",0,IFERROR(VLOOKUP($A5&amp;"|"&amp;D5,'생각_선택지'!$A$2:$W$61,22,FALSE),0))</x:f>
        <x:v>0</x:v>
      </x:c>
      <x:c r="R5" s="37" t="n">
        <x:f>IF(D5="",0,IFERROR(VLOOKUP($A5&amp;"|"&amp;D5,'생각_선택지'!$A$2:$W$61,23,FALSE),0))</x:f>
        <x:v>0</x:v>
      </x:c>
      <x:c r="S5" s="37" t="n">
        <x:f>IF(D5="",0,IFERROR(VLOOKUP($A5&amp;"|"&amp;D5,'생각_선택지'!$A$2:$W$61,15,FALSE),0))</x:f>
        <x:v>0</x:v>
      </x:c>
      <x:c r="T5" s="23" t="n">
        <x:f>IF(D5="",0,IFERROR(VLOOKUP($A5&amp;"|"&amp;D5,'생각_선택지'!$A$2:$W$61,13,FALSE),0))</x:f>
        <x:v>0</x:v>
      </x:c>
      <x:c r="V5" s="65" t="str">
        <x:v>최상위 위협 욕구</x:v>
      </x:c>
      <x:c r="W5" s="32" t="str">
        <x:f>IF(COUNTA($D$5:$D$16)=0,"",INDEX($V$15:$V$21,MATCH(MAX($Y$15:$Y$21),$Y$15:$Y$21,0)))</x:f>
      </x:c>
    </x:row>
    <x:row r="6">
      <x:c r="A6" s="22" t="str">
        <x:v>S02</x:v>
      </x:c>
      <x:c r="B6" s="41" t="str">
        <x:v>아플 때 모든 일을 제쳐두고 오는 모습</x:v>
      </x:c>
      <x:c r="C6" s="41" t="str">
        <x:v>내가 아픈데도 상대가 모든 일을 제쳐두고 오지 않는다면 나는 어떤 생각이 가장 먼저 들까요?</x:v>
      </x:c>
      <x:c r="D6" s="57"/>
      <x:c r="E6" s="41" t="str">
        <x:v>내가 아픈데도 상대가 바로 오지 않는다면 나는 주로 어떻게 행동할까요?</x:v>
      </x:c>
      <x:c r="F6" s="61"/>
      <x:c r="G6" s="41" t="str">
        <x:f>IF(D6="","",IFERROR(VLOOKUP($A6&amp;"|"&amp;D6,'생각_선택지'!$A$2:$W$61,6,FALSE),""))</x:f>
      </x:c>
      <x:c r="H6" s="41" t="str">
        <x:f>IF(F6="","",IFERROR(VLOOKUP($A6&amp;"|"&amp;F6,'행동_선택지'!$A$2:$J$61,6,FALSE),""))</x:f>
      </x:c>
      <x:c r="I6" s="45" t="str">
        <x:f>IF(D6="","",IFERROR(VLOOKUP($A6&amp;"|"&amp;D6,'생각_선택지'!$A$2:$W$61,9,FALSE),""))</x:f>
      </x:c>
      <x:c r="J6" s="45" t="str">
        <x:f>IF(D6="","",IFERROR(VLOOKUP($A6&amp;"|"&amp;D6,'생각_선택지'!$A$2:$W$61,10,FALSE),""))</x:f>
      </x:c>
      <x:c r="K6" s="45" t="str">
        <x:f>IF(F6="","",IFERROR(VLOOKUP($A6&amp;"|"&amp;F6,'행동_선택지'!$A$2:$J$61,8,FALSE),""))</x:f>
      </x:c>
      <x:c r="L6" s="37" t="n">
        <x:f>IF(D6="",0,IFERROR(VLOOKUP($A6&amp;"|"&amp;D6,'생각_선택지'!$A$2:$W$61,17,FALSE),0))</x:f>
        <x:v>0</x:v>
      </x:c>
      <x:c r="M6" s="37" t="n">
        <x:f>IF(D6="",0,IFERROR(VLOOKUP($A6&amp;"|"&amp;D6,'생각_선택지'!$A$2:$W$61,18,FALSE),0))</x:f>
        <x:v>0</x:v>
      </x:c>
      <x:c r="N6" s="37" t="n">
        <x:f>IF(D6="",0,IFERROR(VLOOKUP($A6&amp;"|"&amp;D6,'생각_선택지'!$A$2:$W$61,19,FALSE),0))</x:f>
        <x:v>0</x:v>
      </x:c>
      <x:c r="O6" s="37" t="n">
        <x:f>IF(D6="",0,IFERROR(VLOOKUP($A6&amp;"|"&amp;D6,'생각_선택지'!$A$2:$W$61,20,FALSE),0))</x:f>
        <x:v>0</x:v>
      </x:c>
      <x:c r="P6" s="37" t="n">
        <x:f>IF(D6="",0,IFERROR(VLOOKUP($A6&amp;"|"&amp;D6,'생각_선택지'!$A$2:$W$61,21,FALSE),0))</x:f>
        <x:v>0</x:v>
      </x:c>
      <x:c r="Q6" s="37" t="n">
        <x:f>IF(D6="",0,IFERROR(VLOOKUP($A6&amp;"|"&amp;D6,'생각_선택지'!$A$2:$W$61,22,FALSE),0))</x:f>
        <x:v>0</x:v>
      </x:c>
      <x:c r="R6" s="37" t="n">
        <x:f>IF(D6="",0,IFERROR(VLOOKUP($A6&amp;"|"&amp;D6,'생각_선택지'!$A$2:$W$61,23,FALSE),0))</x:f>
        <x:v>0</x:v>
      </x:c>
      <x:c r="S6" s="37" t="n">
        <x:f>IF(D6="",0,IFERROR(VLOOKUP($A6&amp;"|"&amp;D6,'생각_선택지'!$A$2:$W$61,15,FALSE),0))</x:f>
        <x:v>0</x:v>
      </x:c>
      <x:c r="T6" s="23" t="n">
        <x:f>IF(D6="",0,IFERROR(VLOOKUP($A6&amp;"|"&amp;D6,'생각_선택지'!$A$2:$W$61,13,FALSE),0))</x:f>
        <x:v>0</x:v>
      </x:c>
      <x:c r="V6" s="65" t="str">
        <x:v>최상위 대응전략</x:v>
      </x:c>
      <x:c r="W6" s="32" t="str">
        <x:f>IF(COUNTA($F$5:$F$16)=0,"",INDEX($AA$15:$AA$19,MATCH(MAX($AB$15:$AB$19),$AB$15:$AB$19,0)))</x:f>
      </x:c>
    </x:row>
    <x:row r="7">
      <x:c r="A7" s="22" t="str">
        <x:v>S03</x:v>
      </x:c>
      <x:c r="B7" s="41" t="str">
        <x:v>사람들 앞에서 나를 자랑하는 모습</x:v>
      </x:c>
      <x:c r="C7" s="41" t="str">
        <x:v>상대가 사람들 앞에서 나를 자랑하거나 좋은 점을 이야기하지 않는다면 나는 어떤 생각이 가장 먼저 들까요?</x:v>
      </x:c>
      <x:c r="D7" s="57"/>
      <x:c r="E7" s="41" t="str">
        <x:v>상대가 사람들 앞에서 나를 자랑하지 않는다면 나는 주로 어떻게 행동할까요?</x:v>
      </x:c>
      <x:c r="F7" s="61"/>
      <x:c r="G7" s="41" t="str">
        <x:f>IF(D7="","",IFERROR(VLOOKUP($A7&amp;"|"&amp;D7,'생각_선택지'!$A$2:$W$61,6,FALSE),""))</x:f>
      </x:c>
      <x:c r="H7" s="41" t="str">
        <x:f>IF(F7="","",IFERROR(VLOOKUP($A7&amp;"|"&amp;F7,'행동_선택지'!$A$2:$J$61,6,FALSE),""))</x:f>
      </x:c>
      <x:c r="I7" s="45" t="str">
        <x:f>IF(D7="","",IFERROR(VLOOKUP($A7&amp;"|"&amp;D7,'생각_선택지'!$A$2:$W$61,9,FALSE),""))</x:f>
      </x:c>
      <x:c r="J7" s="45" t="str">
        <x:f>IF(D7="","",IFERROR(VLOOKUP($A7&amp;"|"&amp;D7,'생각_선택지'!$A$2:$W$61,10,FALSE),""))</x:f>
      </x:c>
      <x:c r="K7" s="45" t="str">
        <x:f>IF(F7="","",IFERROR(VLOOKUP($A7&amp;"|"&amp;F7,'행동_선택지'!$A$2:$J$61,8,FALSE),""))</x:f>
      </x:c>
      <x:c r="L7" s="37" t="n">
        <x:f>IF(D7="",0,IFERROR(VLOOKUP($A7&amp;"|"&amp;D7,'생각_선택지'!$A$2:$W$61,17,FALSE),0))</x:f>
        <x:v>0</x:v>
      </x:c>
      <x:c r="M7" s="37" t="n">
        <x:f>IF(D7="",0,IFERROR(VLOOKUP($A7&amp;"|"&amp;D7,'생각_선택지'!$A$2:$W$61,18,FALSE),0))</x:f>
        <x:v>0</x:v>
      </x:c>
      <x:c r="N7" s="37" t="n">
        <x:f>IF(D7="",0,IFERROR(VLOOKUP($A7&amp;"|"&amp;D7,'생각_선택지'!$A$2:$W$61,19,FALSE),0))</x:f>
        <x:v>0</x:v>
      </x:c>
      <x:c r="O7" s="37" t="n">
        <x:f>IF(D7="",0,IFERROR(VLOOKUP($A7&amp;"|"&amp;D7,'생각_선택지'!$A$2:$W$61,20,FALSE),0))</x:f>
        <x:v>0</x:v>
      </x:c>
      <x:c r="P7" s="37" t="n">
        <x:f>IF(D7="",0,IFERROR(VLOOKUP($A7&amp;"|"&amp;D7,'생각_선택지'!$A$2:$W$61,21,FALSE),0))</x:f>
        <x:v>0</x:v>
      </x:c>
      <x:c r="Q7" s="37" t="n">
        <x:f>IF(D7="",0,IFERROR(VLOOKUP($A7&amp;"|"&amp;D7,'생각_선택지'!$A$2:$W$61,22,FALSE),0))</x:f>
        <x:v>0</x:v>
      </x:c>
      <x:c r="R7" s="37" t="n">
        <x:f>IF(D7="",0,IFERROR(VLOOKUP($A7&amp;"|"&amp;D7,'생각_선택지'!$A$2:$W$61,23,FALSE),0))</x:f>
        <x:v>0</x:v>
      </x:c>
      <x:c r="S7" s="37" t="n">
        <x:f>IF(D7="",0,IFERROR(VLOOKUP($A7&amp;"|"&amp;D7,'생각_선택지'!$A$2:$W$61,15,FALSE),0))</x:f>
        <x:v>0</x:v>
      </x:c>
      <x:c r="T7" s="23" t="n">
        <x:f>IF(D7="",0,IFERROR(VLOOKUP($A7&amp;"|"&amp;D7,'생각_선택지'!$A$2:$W$61,13,FALSE),0))</x:f>
        <x:v>0</x:v>
      </x:c>
      <x:c r="V7" s="65" t="str">
        <x:v>유연한 재해석 비율</x:v>
      </x:c>
      <x:c r="W7" s="73" t="str">
        <x:f>IF(COUNTA($D$5:$D$16)=0,"",SUM($S$5:$S$16)/(COUNTA($D$5:$D$16)*4))</x:f>
      </x:c>
    </x:row>
    <x:row r="8">
      <x:c r="A8" s="22" t="str">
        <x:v>S04</x:v>
      </x:c>
      <x:c r="B8" s="41" t="str">
        <x:v>싸운 뒤 먼저 화해를 시도하는 모습</x:v>
      </x:c>
      <x:c r="C8" s="41" t="str">
        <x:v>싸운 뒤 상대가 먼저 화해를 시도하지 않는다면 나는 어떤 생각이 가장 먼저 들까요?</x:v>
      </x:c>
      <x:c r="D8" s="57"/>
      <x:c r="E8" s="41" t="str">
        <x:v>싸운 뒤 상대가 먼저 화해를 시도하지 않는다면 나는 주로 어떻게 행동할까요?</x:v>
      </x:c>
      <x:c r="F8" s="61"/>
      <x:c r="G8" s="41" t="str">
        <x:f>IF(D8="","",IFERROR(VLOOKUP($A8&amp;"|"&amp;D8,'생각_선택지'!$A$2:$W$61,6,FALSE),""))</x:f>
      </x:c>
      <x:c r="H8" s="41" t="str">
        <x:f>IF(F8="","",IFERROR(VLOOKUP($A8&amp;"|"&amp;F8,'행동_선택지'!$A$2:$J$61,6,FALSE),""))</x:f>
      </x:c>
      <x:c r="I8" s="45" t="str">
        <x:f>IF(D8="","",IFERROR(VLOOKUP($A8&amp;"|"&amp;D8,'생각_선택지'!$A$2:$W$61,9,FALSE),""))</x:f>
      </x:c>
      <x:c r="J8" s="45" t="str">
        <x:f>IF(D8="","",IFERROR(VLOOKUP($A8&amp;"|"&amp;D8,'생각_선택지'!$A$2:$W$61,10,FALSE),""))</x:f>
      </x:c>
      <x:c r="K8" s="45" t="str">
        <x:f>IF(F8="","",IFERROR(VLOOKUP($A8&amp;"|"&amp;F8,'행동_선택지'!$A$2:$J$61,8,FALSE),""))</x:f>
      </x:c>
      <x:c r="L8" s="37" t="n">
        <x:f>IF(D8="",0,IFERROR(VLOOKUP($A8&amp;"|"&amp;D8,'생각_선택지'!$A$2:$W$61,17,FALSE),0))</x:f>
        <x:v>0</x:v>
      </x:c>
      <x:c r="M8" s="37" t="n">
        <x:f>IF(D8="",0,IFERROR(VLOOKUP($A8&amp;"|"&amp;D8,'생각_선택지'!$A$2:$W$61,18,FALSE),0))</x:f>
        <x:v>0</x:v>
      </x:c>
      <x:c r="N8" s="37" t="n">
        <x:f>IF(D8="",0,IFERROR(VLOOKUP($A8&amp;"|"&amp;D8,'생각_선택지'!$A$2:$W$61,19,FALSE),0))</x:f>
        <x:v>0</x:v>
      </x:c>
      <x:c r="O8" s="37" t="n">
        <x:f>IF(D8="",0,IFERROR(VLOOKUP($A8&amp;"|"&amp;D8,'생각_선택지'!$A$2:$W$61,20,FALSE),0))</x:f>
        <x:v>0</x:v>
      </x:c>
      <x:c r="P8" s="37" t="n">
        <x:f>IF(D8="",0,IFERROR(VLOOKUP($A8&amp;"|"&amp;D8,'생각_선택지'!$A$2:$W$61,21,FALSE),0))</x:f>
        <x:v>0</x:v>
      </x:c>
      <x:c r="Q8" s="37" t="n">
        <x:f>IF(D8="",0,IFERROR(VLOOKUP($A8&amp;"|"&amp;D8,'생각_선택지'!$A$2:$W$61,22,FALSE),0))</x:f>
        <x:v>0</x:v>
      </x:c>
      <x:c r="R8" s="37" t="n">
        <x:f>IF(D8="",0,IFERROR(VLOOKUP($A8&amp;"|"&amp;D8,'생각_선택지'!$A$2:$W$61,23,FALSE),0))</x:f>
        <x:v>0</x:v>
      </x:c>
      <x:c r="S8" s="37" t="n">
        <x:f>IF(D8="",0,IFERROR(VLOOKUP($A8&amp;"|"&amp;D8,'생각_선택지'!$A$2:$W$61,15,FALSE),0))</x:f>
        <x:v>0</x:v>
      </x:c>
      <x:c r="T8" s="23" t="n">
        <x:f>IF(D8="",0,IFERROR(VLOOKUP($A8&amp;"|"&amp;D8,'생각_선택지'!$A$2:$W$61,13,FALSE),0))</x:f>
        <x:v>0</x:v>
      </x:c>
      <x:c r="V8" s="65" t="str">
        <x:v>위협 활성화 비율</x:v>
      </x:c>
      <x:c r="W8" s="73" t="str">
        <x:f>IF(COUNTA($D$5:$D$16)=0,"",SUM($T$5:$T$16)/COUNTA($D$5:$D$16))</x:f>
      </x:c>
    </x:row>
    <x:row r="9">
      <x:c r="A9" s="22" t="str">
        <x:v>S05</x:v>
      </x:c>
      <x:c r="B9" s="41" t="str">
        <x:v>내 결정을 믿고 기다려주는 모습</x:v>
      </x:c>
      <x:c r="C9" s="41" t="str">
        <x:v>상대가 내 결정을 믿고 기다려주지 않고 계속 조언하거나 재촉한다면 나는 어떤 생각이 가장 먼저 들까요?</x:v>
      </x:c>
      <x:c r="D9" s="57"/>
      <x:c r="E9" s="41" t="str">
        <x:v>상대가 내 결정을 믿고 기다려주지 않는다면 나는 주로 어떻게 행동할까요?</x:v>
      </x:c>
      <x:c r="F9" s="61"/>
      <x:c r="G9" s="41" t="str">
        <x:f>IF(D9="","",IFERROR(VLOOKUP($A9&amp;"|"&amp;D9,'생각_선택지'!$A$2:$W$61,6,FALSE),""))</x:f>
      </x:c>
      <x:c r="H9" s="41" t="str">
        <x:f>IF(F9="","",IFERROR(VLOOKUP($A9&amp;"|"&amp;F9,'행동_선택지'!$A$2:$J$61,6,FALSE),""))</x:f>
      </x:c>
      <x:c r="I9" s="45" t="str">
        <x:f>IF(D9="","",IFERROR(VLOOKUP($A9&amp;"|"&amp;D9,'생각_선택지'!$A$2:$W$61,9,FALSE),""))</x:f>
      </x:c>
      <x:c r="J9" s="45" t="str">
        <x:f>IF(D9="","",IFERROR(VLOOKUP($A9&amp;"|"&amp;D9,'생각_선택지'!$A$2:$W$61,10,FALSE),""))</x:f>
      </x:c>
      <x:c r="K9" s="45" t="str">
        <x:f>IF(F9="","",IFERROR(VLOOKUP($A9&amp;"|"&amp;F9,'행동_선택지'!$A$2:$J$61,8,FALSE),""))</x:f>
      </x:c>
      <x:c r="L9" s="37" t="n">
        <x:f>IF(D9="",0,IFERROR(VLOOKUP($A9&amp;"|"&amp;D9,'생각_선택지'!$A$2:$W$61,17,FALSE),0))</x:f>
        <x:v>0</x:v>
      </x:c>
      <x:c r="M9" s="37" t="n">
        <x:f>IF(D9="",0,IFERROR(VLOOKUP($A9&amp;"|"&amp;D9,'생각_선택지'!$A$2:$W$61,18,FALSE),0))</x:f>
        <x:v>0</x:v>
      </x:c>
      <x:c r="N9" s="37" t="n">
        <x:f>IF(D9="",0,IFERROR(VLOOKUP($A9&amp;"|"&amp;D9,'생각_선택지'!$A$2:$W$61,19,FALSE),0))</x:f>
        <x:v>0</x:v>
      </x:c>
      <x:c r="O9" s="37" t="n">
        <x:f>IF(D9="",0,IFERROR(VLOOKUP($A9&amp;"|"&amp;D9,'생각_선택지'!$A$2:$W$61,20,FALSE),0))</x:f>
        <x:v>0</x:v>
      </x:c>
      <x:c r="P9" s="37" t="n">
        <x:f>IF(D9="",0,IFERROR(VLOOKUP($A9&amp;"|"&amp;D9,'생각_선택지'!$A$2:$W$61,21,FALSE),0))</x:f>
        <x:v>0</x:v>
      </x:c>
      <x:c r="Q9" s="37" t="n">
        <x:f>IF(D9="",0,IFERROR(VLOOKUP($A9&amp;"|"&amp;D9,'생각_선택지'!$A$2:$W$61,22,FALSE),0))</x:f>
        <x:v>0</x:v>
      </x:c>
      <x:c r="R9" s="37" t="n">
        <x:f>IF(D9="",0,IFERROR(VLOOKUP($A9&amp;"|"&amp;D9,'생각_선택지'!$A$2:$W$61,23,FALSE),0))</x:f>
        <x:v>0</x:v>
      </x:c>
      <x:c r="S9" s="37" t="n">
        <x:f>IF(D9="",0,IFERROR(VLOOKUP($A9&amp;"|"&amp;D9,'생각_선택지'!$A$2:$W$61,15,FALSE),0))</x:f>
        <x:v>0</x:v>
      </x:c>
      <x:c r="T9" s="23" t="n">
        <x:f>IF(D9="",0,IFERROR(VLOOKUP($A9&amp;"|"&amp;D9,'생각_선택지'!$A$2:$W$61,13,FALSE),0))</x:f>
        <x:v>0</x:v>
      </x:c>
      <x:c r="V9" s="65" t="str">
        <x:v>최종 결과키</x:v>
      </x:c>
      <x:c r="W9" s="32" t="str">
        <x:f>IF(COUNTA($D$5:$D$16)=0,"",IF(OR(W7&gt;=0.75,SUM($W$15:$W$21)=0),"SECURE",W5&amp;"|"&amp;W6))</x:f>
      </x:c>
    </x:row>
    <x:row r="10">
      <x:c r="A10" s="22" t="str">
        <x:v>S06</x:v>
      </x:c>
      <x:c r="B10" s="41" t="str">
        <x:v>중요한 선택을 나와 상의하는 모습</x:v>
      </x:c>
      <x:c r="C10" s="41" t="str">
        <x:v>상대가 중요한 선택을 나와 상의하지 않고 혼자 결정한다면 나는 어떤 생각이 가장 먼저 들까요?</x:v>
      </x:c>
      <x:c r="D10" s="57"/>
      <x:c r="E10" s="41" t="str">
        <x:v>상대가 중요한 선택을 나와 상의하지 않는다면 나는 주로 어떻게 행동할까요?</x:v>
      </x:c>
      <x:c r="F10" s="61"/>
      <x:c r="G10" s="41" t="str">
        <x:f>IF(D10="","",IFERROR(VLOOKUP($A10&amp;"|"&amp;D10,'생각_선택지'!$A$2:$W$61,6,FALSE),""))</x:f>
      </x:c>
      <x:c r="H10" s="41" t="str">
        <x:f>IF(F10="","",IFERROR(VLOOKUP($A10&amp;"|"&amp;F10,'행동_선택지'!$A$2:$J$61,6,FALSE),""))</x:f>
      </x:c>
      <x:c r="I10" s="45" t="str">
        <x:f>IF(D10="","",IFERROR(VLOOKUP($A10&amp;"|"&amp;D10,'생각_선택지'!$A$2:$W$61,9,FALSE),""))</x:f>
      </x:c>
      <x:c r="J10" s="45" t="str">
        <x:f>IF(D10="","",IFERROR(VLOOKUP($A10&amp;"|"&amp;D10,'생각_선택지'!$A$2:$W$61,10,FALSE),""))</x:f>
      </x:c>
      <x:c r="K10" s="45" t="str">
        <x:f>IF(F10="","",IFERROR(VLOOKUP($A10&amp;"|"&amp;F10,'행동_선택지'!$A$2:$J$61,8,FALSE),""))</x:f>
      </x:c>
      <x:c r="L10" s="37" t="n">
        <x:f>IF(D10="",0,IFERROR(VLOOKUP($A10&amp;"|"&amp;D10,'생각_선택지'!$A$2:$W$61,17,FALSE),0))</x:f>
        <x:v>0</x:v>
      </x:c>
      <x:c r="M10" s="37" t="n">
        <x:f>IF(D10="",0,IFERROR(VLOOKUP($A10&amp;"|"&amp;D10,'생각_선택지'!$A$2:$W$61,18,FALSE),0))</x:f>
        <x:v>0</x:v>
      </x:c>
      <x:c r="N10" s="37" t="n">
        <x:f>IF(D10="",0,IFERROR(VLOOKUP($A10&amp;"|"&amp;D10,'생각_선택지'!$A$2:$W$61,19,FALSE),0))</x:f>
        <x:v>0</x:v>
      </x:c>
      <x:c r="O10" s="37" t="n">
        <x:f>IF(D10="",0,IFERROR(VLOOKUP($A10&amp;"|"&amp;D10,'생각_선택지'!$A$2:$W$61,20,FALSE),0))</x:f>
        <x:v>0</x:v>
      </x:c>
      <x:c r="P10" s="37" t="n">
        <x:f>IF(D10="",0,IFERROR(VLOOKUP($A10&amp;"|"&amp;D10,'생각_선택지'!$A$2:$W$61,21,FALSE),0))</x:f>
        <x:v>0</x:v>
      </x:c>
      <x:c r="Q10" s="37" t="n">
        <x:f>IF(D10="",0,IFERROR(VLOOKUP($A10&amp;"|"&amp;D10,'생각_선택지'!$A$2:$W$61,22,FALSE),0))</x:f>
        <x:v>0</x:v>
      </x:c>
      <x:c r="R10" s="37" t="n">
        <x:f>IF(D10="",0,IFERROR(VLOOKUP($A10&amp;"|"&amp;D10,'생각_선택지'!$A$2:$W$61,23,FALSE),0))</x:f>
        <x:v>0</x:v>
      </x:c>
      <x:c r="S10" s="37" t="n">
        <x:f>IF(D10="",0,IFERROR(VLOOKUP($A10&amp;"|"&amp;D10,'생각_선택지'!$A$2:$W$61,15,FALSE),0))</x:f>
        <x:v>0</x:v>
      </x:c>
      <x:c r="T10" s="23" t="n">
        <x:f>IF(D10="",0,IFERROR(VLOOKUP($A10&amp;"|"&amp;D10,'생각_선택지'!$A$2:$W$61,13,FALSE),0))</x:f>
        <x:v>0</x:v>
      </x:c>
      <x:c r="V10" s="65" t="str">
        <x:v>결과 제목</x:v>
      </x:c>
      <x:c r="W10" s="32" t="str">
        <x:f>IF(W9="","",IFERROR(VLOOKUP(W9,'결과_조합'!$A$2:$J$37,6,FALSE),""))</x:f>
      </x:c>
    </x:row>
    <x:row r="11">
      <x:c r="A11" s="22" t="str">
        <x:v>S07</x:v>
      </x:c>
      <x:c r="B11" s="41" t="str">
        <x:v>나에게만 약한 모습을 보이는 모습</x:v>
      </x:c>
      <x:c r="C11" s="41" t="str">
        <x:v>상대가 힘든 상황에서도 나에게 약한 모습을 전혀 보이지 않는다면 나는 어떤 생각이 가장 먼저 들까요?</x:v>
      </x:c>
      <x:c r="D11" s="57"/>
      <x:c r="E11" s="41" t="str">
        <x:v>상대가 나에게 약한 모습을 보이지 않는다면 나는 주로 어떻게 행동할까요?</x:v>
      </x:c>
      <x:c r="F11" s="61"/>
      <x:c r="G11" s="41" t="str">
        <x:f>IF(D11="","",IFERROR(VLOOKUP($A11&amp;"|"&amp;D11,'생각_선택지'!$A$2:$W$61,6,FALSE),""))</x:f>
      </x:c>
      <x:c r="H11" s="41" t="str">
        <x:f>IF(F11="","",IFERROR(VLOOKUP($A11&amp;"|"&amp;F11,'행동_선택지'!$A$2:$J$61,6,FALSE),""))</x:f>
      </x:c>
      <x:c r="I11" s="45" t="str">
        <x:f>IF(D11="","",IFERROR(VLOOKUP($A11&amp;"|"&amp;D11,'생각_선택지'!$A$2:$W$61,9,FALSE),""))</x:f>
      </x:c>
      <x:c r="J11" s="45" t="str">
        <x:f>IF(D11="","",IFERROR(VLOOKUP($A11&amp;"|"&amp;D11,'생각_선택지'!$A$2:$W$61,10,FALSE),""))</x:f>
      </x:c>
      <x:c r="K11" s="45" t="str">
        <x:f>IF(F11="","",IFERROR(VLOOKUP($A11&amp;"|"&amp;F11,'행동_선택지'!$A$2:$J$61,8,FALSE),""))</x:f>
      </x:c>
      <x:c r="L11" s="37" t="n">
        <x:f>IF(D11="",0,IFERROR(VLOOKUP($A11&amp;"|"&amp;D11,'생각_선택지'!$A$2:$W$61,17,FALSE),0))</x:f>
        <x:v>0</x:v>
      </x:c>
      <x:c r="M11" s="37" t="n">
        <x:f>IF(D11="",0,IFERROR(VLOOKUP($A11&amp;"|"&amp;D11,'생각_선택지'!$A$2:$W$61,18,FALSE),0))</x:f>
        <x:v>0</x:v>
      </x:c>
      <x:c r="N11" s="37" t="n">
        <x:f>IF(D11="",0,IFERROR(VLOOKUP($A11&amp;"|"&amp;D11,'생각_선택지'!$A$2:$W$61,19,FALSE),0))</x:f>
        <x:v>0</x:v>
      </x:c>
      <x:c r="O11" s="37" t="n">
        <x:f>IF(D11="",0,IFERROR(VLOOKUP($A11&amp;"|"&amp;D11,'생각_선택지'!$A$2:$W$61,20,FALSE),0))</x:f>
        <x:v>0</x:v>
      </x:c>
      <x:c r="P11" s="37" t="n">
        <x:f>IF(D11="",0,IFERROR(VLOOKUP($A11&amp;"|"&amp;D11,'생각_선택지'!$A$2:$W$61,21,FALSE),0))</x:f>
        <x:v>0</x:v>
      </x:c>
      <x:c r="Q11" s="37" t="n">
        <x:f>IF(D11="",0,IFERROR(VLOOKUP($A11&amp;"|"&amp;D11,'생각_선택지'!$A$2:$W$61,22,FALSE),0))</x:f>
        <x:v>0</x:v>
      </x:c>
      <x:c r="R11" s="37" t="n">
        <x:f>IF(D11="",0,IFERROR(VLOOKUP($A11&amp;"|"&amp;D11,'생각_선택지'!$A$2:$W$61,23,FALSE),0))</x:f>
        <x:v>0</x:v>
      </x:c>
      <x:c r="S11" s="37" t="n">
        <x:f>IF(D11="",0,IFERROR(VLOOKUP($A11&amp;"|"&amp;D11,'생각_선택지'!$A$2:$W$61,15,FALSE),0))</x:f>
        <x:v>0</x:v>
      </x:c>
      <x:c r="T11" s="23" t="n">
        <x:f>IF(D11="",0,IFERROR(VLOOKUP($A11&amp;"|"&amp;D11,'생각_선택지'!$A$2:$W$61,13,FALSE),0))</x:f>
        <x:v>0</x:v>
      </x:c>
      <x:c r="V11" s="66" t="str">
        <x:v>결과 본문</x:v>
      </x:c>
      <x:c r="W11" s="33" t="str">
        <x:f>IF(W9="","",IFERROR(VLOOKUP(W9,'결과_조합'!$A$2:$J$37,9,FALSE),""))</x:f>
      </x:c>
    </x:row>
    <x:row r="12">
      <x:c r="A12" s="22" t="str">
        <x:v>S08</x:v>
      </x:c>
      <x:c r="B12" s="41" t="str">
        <x:v>매일 사소한 일을 공유하는 모습</x:v>
      </x:c>
      <x:c r="C12" s="41" t="str">
        <x:v>상대가 매일 있었던 사소한 일을 나에게 공유하지 않는다면 나는 어떤 생각이 가장 먼저 들까요?</x:v>
      </x:c>
      <x:c r="D12" s="57"/>
      <x:c r="E12" s="41" t="str">
        <x:v>상대가 사소한 일을 잘 공유하지 않는다면 나는 주로 어떻게 행동할까요?</x:v>
      </x:c>
      <x:c r="F12" s="61"/>
      <x:c r="G12" s="41" t="str">
        <x:f>IF(D12="","",IFERROR(VLOOKUP($A12&amp;"|"&amp;D12,'생각_선택지'!$A$2:$W$61,6,FALSE),""))</x:f>
      </x:c>
      <x:c r="H12" s="41" t="str">
        <x:f>IF(F12="","",IFERROR(VLOOKUP($A12&amp;"|"&amp;F12,'행동_선택지'!$A$2:$J$61,6,FALSE),""))</x:f>
      </x:c>
      <x:c r="I12" s="45" t="str">
        <x:f>IF(D12="","",IFERROR(VLOOKUP($A12&amp;"|"&amp;D12,'생각_선택지'!$A$2:$W$61,9,FALSE),""))</x:f>
      </x:c>
      <x:c r="J12" s="45" t="str">
        <x:f>IF(D12="","",IFERROR(VLOOKUP($A12&amp;"|"&amp;D12,'생각_선택지'!$A$2:$W$61,10,FALSE),""))</x:f>
      </x:c>
      <x:c r="K12" s="45" t="str">
        <x:f>IF(F12="","",IFERROR(VLOOKUP($A12&amp;"|"&amp;F12,'행동_선택지'!$A$2:$J$61,8,FALSE),""))</x:f>
      </x:c>
      <x:c r="L12" s="37" t="n">
        <x:f>IF(D12="",0,IFERROR(VLOOKUP($A12&amp;"|"&amp;D12,'생각_선택지'!$A$2:$W$61,17,FALSE),0))</x:f>
        <x:v>0</x:v>
      </x:c>
      <x:c r="M12" s="37" t="n">
        <x:f>IF(D12="",0,IFERROR(VLOOKUP($A12&amp;"|"&amp;D12,'생각_선택지'!$A$2:$W$61,18,FALSE),0))</x:f>
        <x:v>0</x:v>
      </x:c>
      <x:c r="N12" s="37" t="n">
        <x:f>IF(D12="",0,IFERROR(VLOOKUP($A12&amp;"|"&amp;D12,'생각_선택지'!$A$2:$W$61,19,FALSE),0))</x:f>
        <x:v>0</x:v>
      </x:c>
      <x:c r="O12" s="37" t="n">
        <x:f>IF(D12="",0,IFERROR(VLOOKUP($A12&amp;"|"&amp;D12,'생각_선택지'!$A$2:$W$61,20,FALSE),0))</x:f>
        <x:v>0</x:v>
      </x:c>
      <x:c r="P12" s="37" t="n">
        <x:f>IF(D12="",0,IFERROR(VLOOKUP($A12&amp;"|"&amp;D12,'생각_선택지'!$A$2:$W$61,21,FALSE),0))</x:f>
        <x:v>0</x:v>
      </x:c>
      <x:c r="Q12" s="37" t="n">
        <x:f>IF(D12="",0,IFERROR(VLOOKUP($A12&amp;"|"&amp;D12,'생각_선택지'!$A$2:$W$61,22,FALSE),0))</x:f>
        <x:v>0</x:v>
      </x:c>
      <x:c r="R12" s="37" t="n">
        <x:f>IF(D12="",0,IFERROR(VLOOKUP($A12&amp;"|"&amp;D12,'생각_선택지'!$A$2:$W$61,23,FALSE),0))</x:f>
        <x:v>0</x:v>
      </x:c>
      <x:c r="S12" s="37" t="n">
        <x:f>IF(D12="",0,IFERROR(VLOOKUP($A12&amp;"|"&amp;D12,'생각_선택지'!$A$2:$W$61,15,FALSE),0))</x:f>
        <x:v>0</x:v>
      </x:c>
      <x:c r="T12" s="23" t="n">
        <x:f>IF(D12="",0,IFERROR(VLOOKUP($A12&amp;"|"&amp;D12,'생각_선택지'!$A$2:$W$61,13,FALSE),0))</x:f>
        <x:v>0</x:v>
      </x:c>
    </x:row>
    <x:row r="13">
      <x:c r="A13" s="22" t="str">
        <x:v>S09</x:v>
      </x:c>
      <x:c r="B13" s="41" t="str">
        <x:v>나 없이는 힘들다고 말하는 모습</x:v>
      </x:c>
      <x:c r="C13" s="41" t="str">
        <x:v>상대가 나의 도움 없이도 잘 지내며 나를 꼭 필요로 한다는 표현을 하지 않는다면 나는 어떤 생각이 가장 먼저 들까요?</x:v>
      </x:c>
      <x:c r="D13" s="57"/>
      <x:c r="E13" s="41" t="str">
        <x:v>상대가 나를 필요로 한다는 표현을 하지 않는다면 나는 주로 어떻게 행동할까요?</x:v>
      </x:c>
      <x:c r="F13" s="61"/>
      <x:c r="G13" s="41" t="str">
        <x:f>IF(D13="","",IFERROR(VLOOKUP($A13&amp;"|"&amp;D13,'생각_선택지'!$A$2:$W$61,6,FALSE),""))</x:f>
      </x:c>
      <x:c r="H13" s="41" t="str">
        <x:f>IF(F13="","",IFERROR(VLOOKUP($A13&amp;"|"&amp;F13,'행동_선택지'!$A$2:$J$61,6,FALSE),""))</x:f>
      </x:c>
      <x:c r="I13" s="45" t="str">
        <x:f>IF(D13="","",IFERROR(VLOOKUP($A13&amp;"|"&amp;D13,'생각_선택지'!$A$2:$W$61,9,FALSE),""))</x:f>
      </x:c>
      <x:c r="J13" s="45" t="str">
        <x:f>IF(D13="","",IFERROR(VLOOKUP($A13&amp;"|"&amp;D13,'생각_선택지'!$A$2:$W$61,10,FALSE),""))</x:f>
      </x:c>
      <x:c r="K13" s="45" t="str">
        <x:f>IF(F13="","",IFERROR(VLOOKUP($A13&amp;"|"&amp;F13,'행동_선택지'!$A$2:$J$61,8,FALSE),""))</x:f>
      </x:c>
      <x:c r="L13" s="37" t="n">
        <x:f>IF(D13="",0,IFERROR(VLOOKUP($A13&amp;"|"&amp;D13,'생각_선택지'!$A$2:$W$61,17,FALSE),0))</x:f>
        <x:v>0</x:v>
      </x:c>
      <x:c r="M13" s="37" t="n">
        <x:f>IF(D13="",0,IFERROR(VLOOKUP($A13&amp;"|"&amp;D13,'생각_선택지'!$A$2:$W$61,18,FALSE),0))</x:f>
        <x:v>0</x:v>
      </x:c>
      <x:c r="N13" s="37" t="n">
        <x:f>IF(D13="",0,IFERROR(VLOOKUP($A13&amp;"|"&amp;D13,'생각_선택지'!$A$2:$W$61,19,FALSE),0))</x:f>
        <x:v>0</x:v>
      </x:c>
      <x:c r="O13" s="37" t="n">
        <x:f>IF(D13="",0,IFERROR(VLOOKUP($A13&amp;"|"&amp;D13,'생각_선택지'!$A$2:$W$61,20,FALSE),0))</x:f>
        <x:v>0</x:v>
      </x:c>
      <x:c r="P13" s="37" t="n">
        <x:f>IF(D13="",0,IFERROR(VLOOKUP($A13&amp;"|"&amp;D13,'생각_선택지'!$A$2:$W$61,21,FALSE),0))</x:f>
        <x:v>0</x:v>
      </x:c>
      <x:c r="Q13" s="37" t="n">
        <x:f>IF(D13="",0,IFERROR(VLOOKUP($A13&amp;"|"&amp;D13,'생각_선택지'!$A$2:$W$61,22,FALSE),0))</x:f>
        <x:v>0</x:v>
      </x:c>
      <x:c r="R13" s="37" t="n">
        <x:f>IF(D13="",0,IFERROR(VLOOKUP($A13&amp;"|"&amp;D13,'생각_선택지'!$A$2:$W$61,23,FALSE),0))</x:f>
        <x:v>0</x:v>
      </x:c>
      <x:c r="S13" s="37" t="n">
        <x:f>IF(D13="",0,IFERROR(VLOOKUP($A13&amp;"|"&amp;D13,'생각_선택지'!$A$2:$W$61,15,FALSE),0))</x:f>
        <x:v>0</x:v>
      </x:c>
      <x:c r="T13" s="23" t="n">
        <x:f>IF(D13="",0,IFERROR(VLOOKUP($A13&amp;"|"&amp;D13,'생각_선택지'!$A$2:$W$61,13,FALSE),0))</x:f>
        <x:v>0</x:v>
      </x:c>
    </x:row>
    <x:row r="14">
      <x:c r="A14" s="22" t="str">
        <x:v>S10</x:v>
      </x:c>
      <x:c r="B14" s="41" t="str">
        <x:v>함께 새로운 도전을 시작하는 모습</x:v>
      </x:c>
      <x:c r="C14" s="41" t="str">
        <x:v>상대가 나와 함께 새로운 경험이나 도전을 시작하려 하지 않는다면 나는 어떤 생각이 가장 먼저 들까요?</x:v>
      </x:c>
      <x:c r="D14" s="57"/>
      <x:c r="E14" s="41" t="str">
        <x:v>상대가 함께 새로운 도전을 하려 하지 않는다면 나는 주로 어떻게 행동할까요?</x:v>
      </x:c>
      <x:c r="F14" s="61"/>
      <x:c r="G14" s="41" t="str">
        <x:f>IF(D14="","",IFERROR(VLOOKUP($A14&amp;"|"&amp;D14,'생각_선택지'!$A$2:$W$61,6,FALSE),""))</x:f>
      </x:c>
      <x:c r="H14" s="41" t="str">
        <x:f>IF(F14="","",IFERROR(VLOOKUP($A14&amp;"|"&amp;F14,'행동_선택지'!$A$2:$J$61,6,FALSE),""))</x:f>
      </x:c>
      <x:c r="I14" s="45" t="str">
        <x:f>IF(D14="","",IFERROR(VLOOKUP($A14&amp;"|"&amp;D14,'생각_선택지'!$A$2:$W$61,9,FALSE),""))</x:f>
      </x:c>
      <x:c r="J14" s="45" t="str">
        <x:f>IF(D14="","",IFERROR(VLOOKUP($A14&amp;"|"&amp;D14,'생각_선택지'!$A$2:$W$61,10,FALSE),""))</x:f>
      </x:c>
      <x:c r="K14" s="45" t="str">
        <x:f>IF(F14="","",IFERROR(VLOOKUP($A14&amp;"|"&amp;F14,'행동_선택지'!$A$2:$J$61,8,FALSE),""))</x:f>
      </x:c>
      <x:c r="L14" s="37" t="n">
        <x:f>IF(D14="",0,IFERROR(VLOOKUP($A14&amp;"|"&amp;D14,'생각_선택지'!$A$2:$W$61,17,FALSE),0))</x:f>
        <x:v>0</x:v>
      </x:c>
      <x:c r="M14" s="37" t="n">
        <x:f>IF(D14="",0,IFERROR(VLOOKUP($A14&amp;"|"&amp;D14,'생각_선택지'!$A$2:$W$61,18,FALSE),0))</x:f>
        <x:v>0</x:v>
      </x:c>
      <x:c r="N14" s="37" t="n">
        <x:f>IF(D14="",0,IFERROR(VLOOKUP($A14&amp;"|"&amp;D14,'생각_선택지'!$A$2:$W$61,19,FALSE),0))</x:f>
        <x:v>0</x:v>
      </x:c>
      <x:c r="O14" s="37" t="n">
        <x:f>IF(D14="",0,IFERROR(VLOOKUP($A14&amp;"|"&amp;D14,'생각_선택지'!$A$2:$W$61,20,FALSE),0))</x:f>
        <x:v>0</x:v>
      </x:c>
      <x:c r="P14" s="37" t="n">
        <x:f>IF(D14="",0,IFERROR(VLOOKUP($A14&amp;"|"&amp;D14,'생각_선택지'!$A$2:$W$61,21,FALSE),0))</x:f>
        <x:v>0</x:v>
      </x:c>
      <x:c r="Q14" s="37" t="n">
        <x:f>IF(D14="",0,IFERROR(VLOOKUP($A14&amp;"|"&amp;D14,'생각_선택지'!$A$2:$W$61,22,FALSE),0))</x:f>
        <x:v>0</x:v>
      </x:c>
      <x:c r="R14" s="37" t="n">
        <x:f>IF(D14="",0,IFERROR(VLOOKUP($A14&amp;"|"&amp;D14,'생각_선택지'!$A$2:$W$61,23,FALSE),0))</x:f>
        <x:v>0</x:v>
      </x:c>
      <x:c r="S14" s="37" t="n">
        <x:f>IF(D14="",0,IFERROR(VLOOKUP($A14&amp;"|"&amp;D14,'생각_선택지'!$A$2:$W$61,15,FALSE),0))</x:f>
        <x:v>0</x:v>
      </x:c>
      <x:c r="T14" s="23" t="n">
        <x:f>IF(D14="",0,IFERROR(VLOOKUP($A14&amp;"|"&amp;D14,'생각_선택지'!$A$2:$W$61,13,FALSE),0))</x:f>
        <x:v>0</x:v>
      </x:c>
      <x:c r="V14" s="20" t="str">
        <x:v>욕구유형</x:v>
      </x:c>
      <x:c r="W14" s="36" t="str">
        <x:v>원점수</x:v>
      </x:c>
      <x:c r="X14" s="36" t="str">
        <x:v>이론상 최대</x:v>
      </x:c>
      <x:c r="Y14" s="21" t="str">
        <x:v>정규화 점수</x:v>
      </x:c>
      <x:c r="AA14" s="20" t="str">
        <x:v>대응전략</x:v>
      </x:c>
      <x:c r="AB14" s="36" t="str">
        <x:v>선택 수</x:v>
      </x:c>
      <x:c r="AC14" s="21" t="str">
        <x:v>환산 점수</x:v>
      </x:c>
    </x:row>
    <x:row r="15">
      <x:c r="A15" s="22" t="str">
        <x:v>S11</x:v>
      </x:c>
      <x:c r="B15" s="41" t="str">
        <x:v>내 감정을 말하지 않아도 알아채는 모습</x:v>
      </x:c>
      <x:c r="C15" s="41" t="str">
        <x:v>내가 힘들어 보이는데도 상대가 내 감정을 알아채지 못한다면 나는 어떤 생각이 가장 먼저 들까요?</x:v>
      </x:c>
      <x:c r="D15" s="57"/>
      <x:c r="E15" s="41" t="str">
        <x:v>상대가 내 감정을 알아채지 못한다면 나는 주로 어떻게 행동할까요?</x:v>
      </x:c>
      <x:c r="F15" s="61"/>
      <x:c r="G15" s="41" t="str">
        <x:f>IF(D15="","",IFERROR(VLOOKUP($A15&amp;"|"&amp;D15,'생각_선택지'!$A$2:$W$61,6,FALSE),""))</x:f>
      </x:c>
      <x:c r="H15" s="41" t="str">
        <x:f>IF(F15="","",IFERROR(VLOOKUP($A15&amp;"|"&amp;F15,'행동_선택지'!$A$2:$J$61,6,FALSE),""))</x:f>
      </x:c>
      <x:c r="I15" s="45" t="str">
        <x:f>IF(D15="","",IFERROR(VLOOKUP($A15&amp;"|"&amp;D15,'생각_선택지'!$A$2:$W$61,9,FALSE),""))</x:f>
      </x:c>
      <x:c r="J15" s="45" t="str">
        <x:f>IF(D15="","",IFERROR(VLOOKUP($A15&amp;"|"&amp;D15,'생각_선택지'!$A$2:$W$61,10,FALSE),""))</x:f>
      </x:c>
      <x:c r="K15" s="45" t="str">
        <x:f>IF(F15="","",IFERROR(VLOOKUP($A15&amp;"|"&amp;F15,'행동_선택지'!$A$2:$J$61,8,FALSE),""))</x:f>
      </x:c>
      <x:c r="L15" s="37" t="n">
        <x:f>IF(D15="",0,IFERROR(VLOOKUP($A15&amp;"|"&amp;D15,'생각_선택지'!$A$2:$W$61,17,FALSE),0))</x:f>
        <x:v>0</x:v>
      </x:c>
      <x:c r="M15" s="37" t="n">
        <x:f>IF(D15="",0,IFERROR(VLOOKUP($A15&amp;"|"&amp;D15,'생각_선택지'!$A$2:$W$61,18,FALSE),0))</x:f>
        <x:v>0</x:v>
      </x:c>
      <x:c r="N15" s="37" t="n">
        <x:f>IF(D15="",0,IFERROR(VLOOKUP($A15&amp;"|"&amp;D15,'생각_선택지'!$A$2:$W$61,19,FALSE),0))</x:f>
        <x:v>0</x:v>
      </x:c>
      <x:c r="O15" s="37" t="n">
        <x:f>IF(D15="",0,IFERROR(VLOOKUP($A15&amp;"|"&amp;D15,'생각_선택지'!$A$2:$W$61,20,FALSE),0))</x:f>
        <x:v>0</x:v>
      </x:c>
      <x:c r="P15" s="37" t="n">
        <x:f>IF(D15="",0,IFERROR(VLOOKUP($A15&amp;"|"&amp;D15,'생각_선택지'!$A$2:$W$61,21,FALSE),0))</x:f>
        <x:v>0</x:v>
      </x:c>
      <x:c r="Q15" s="37" t="n">
        <x:f>IF(D15="",0,IFERROR(VLOOKUP($A15&amp;"|"&amp;D15,'생각_선택지'!$A$2:$W$61,22,FALSE),0))</x:f>
        <x:v>0</x:v>
      </x:c>
      <x:c r="R15" s="37" t="n">
        <x:f>IF(D15="",0,IFERROR(VLOOKUP($A15&amp;"|"&amp;D15,'생각_선택지'!$A$2:$W$61,23,FALSE),0))</x:f>
        <x:v>0</x:v>
      </x:c>
      <x:c r="S15" s="37" t="n">
        <x:f>IF(D15="",0,IFERROR(VLOOKUP($A15&amp;"|"&amp;D15,'생각_선택지'!$A$2:$W$61,15,FALSE),0))</x:f>
        <x:v>0</x:v>
      </x:c>
      <x:c r="T15" s="23" t="n">
        <x:f>IF(D15="",0,IFERROR(VLOOKUP($A15&amp;"|"&amp;D15,'생각_선택지'!$A$2:$W$61,13,FALSE),0))</x:f>
        <x:v>0</x:v>
      </x:c>
      <x:c r="V15" s="22" t="str">
        <x:v>안전성</x:v>
      </x:c>
      <x:c r="W15" s="37" t="n">
        <x:f>SUM(L5:L16)</x:f>
        <x:v>0</x:v>
      </x:c>
      <x:c r="X15" s="37" t="n">
        <x:v>34</x:v>
      </x:c>
      <x:c r="Y15" s="69" t="n">
        <x:f>IF(X15=0,0,W15/X15)</x:f>
        <x:v>0</x:v>
      </x:c>
      <x:c r="AA15" s="22" t="str">
        <x:v>반응 유도·통제</x:v>
      </x:c>
      <x:c r="AB15" s="37" t="n">
        <x:f>COUNTIF($K$5:$K$16,AA15)</x:f>
        <x:v>0</x:v>
      </x:c>
      <x:c r="AC15" s="69" t="n">
        <x:f>AB15*4/48</x:f>
        <x:v>0</x:v>
      </x:c>
    </x:row>
    <x:row r="16">
      <x:c r="A16" s="24" t="str">
        <x:v>S12</x:v>
      </x:c>
      <x:c r="B16" s="42" t="str">
        <x:v>각자의 시간을 편안하게 보내는 모습</x:v>
      </x:c>
      <x:c r="C16" s="42" t="str">
        <x:v>상대가 각자의 시간을 보내는 것을 불편해하거나 계속 함께 있으려 한다면 나는 어떤 생각이 가장 먼저 들까요?</x:v>
      </x:c>
      <x:c r="D16" s="58"/>
      <x:c r="E16" s="42" t="str">
        <x:v>상대가 각자의 시간을 편안하게 보내지 못한다면 나는 주로 어떻게 행동할까요?</x:v>
      </x:c>
      <x:c r="F16" s="62"/>
      <x:c r="G16" s="42" t="str">
        <x:f>IF(D16="","",IFERROR(VLOOKUP($A16&amp;"|"&amp;D16,'생각_선택지'!$A$2:$W$61,6,FALSE),""))</x:f>
      </x:c>
      <x:c r="H16" s="42" t="str">
        <x:f>IF(F16="","",IFERROR(VLOOKUP($A16&amp;"|"&amp;F16,'행동_선택지'!$A$2:$J$61,6,FALSE),""))</x:f>
      </x:c>
      <x:c r="I16" s="46" t="str">
        <x:f>IF(D16="","",IFERROR(VLOOKUP($A16&amp;"|"&amp;D16,'생각_선택지'!$A$2:$W$61,9,FALSE),""))</x:f>
      </x:c>
      <x:c r="J16" s="46" t="str">
        <x:f>IF(D16="","",IFERROR(VLOOKUP($A16&amp;"|"&amp;D16,'생각_선택지'!$A$2:$W$61,10,FALSE),""))</x:f>
      </x:c>
      <x:c r="K16" s="46" t="str">
        <x:f>IF(F16="","",IFERROR(VLOOKUP($A16&amp;"|"&amp;F16,'행동_선택지'!$A$2:$J$61,8,FALSE),""))</x:f>
      </x:c>
      <x:c r="L16" s="38" t="n">
        <x:f>IF(D16="",0,IFERROR(VLOOKUP($A16&amp;"|"&amp;D16,'생각_선택지'!$A$2:$W$61,17,FALSE),0))</x:f>
        <x:v>0</x:v>
      </x:c>
      <x:c r="M16" s="38" t="n">
        <x:f>IF(D16="",0,IFERROR(VLOOKUP($A16&amp;"|"&amp;D16,'생각_선택지'!$A$2:$W$61,18,FALSE),0))</x:f>
        <x:v>0</x:v>
      </x:c>
      <x:c r="N16" s="38" t="n">
        <x:f>IF(D16="",0,IFERROR(VLOOKUP($A16&amp;"|"&amp;D16,'생각_선택지'!$A$2:$W$61,19,FALSE),0))</x:f>
        <x:v>0</x:v>
      </x:c>
      <x:c r="O16" s="38" t="n">
        <x:f>IF(D16="",0,IFERROR(VLOOKUP($A16&amp;"|"&amp;D16,'생각_선택지'!$A$2:$W$61,20,FALSE),0))</x:f>
        <x:v>0</x:v>
      </x:c>
      <x:c r="P16" s="38" t="n">
        <x:f>IF(D16="",0,IFERROR(VLOOKUP($A16&amp;"|"&amp;D16,'생각_선택지'!$A$2:$W$61,21,FALSE),0))</x:f>
        <x:v>0</x:v>
      </x:c>
      <x:c r="Q16" s="38" t="n">
        <x:f>IF(D16="",0,IFERROR(VLOOKUP($A16&amp;"|"&amp;D16,'생각_선택지'!$A$2:$W$61,22,FALSE),0))</x:f>
        <x:v>0</x:v>
      </x:c>
      <x:c r="R16" s="38" t="n">
        <x:f>IF(D16="",0,IFERROR(VLOOKUP($A16&amp;"|"&amp;D16,'생각_선택지'!$A$2:$W$61,23,FALSE),0))</x:f>
        <x:v>0</x:v>
      </x:c>
      <x:c r="S16" s="38" t="n">
        <x:f>IF(D16="",0,IFERROR(VLOOKUP($A16&amp;"|"&amp;D16,'생각_선택지'!$A$2:$W$61,15,FALSE),0))</x:f>
        <x:v>0</x:v>
      </x:c>
      <x:c r="T16" s="25" t="n">
        <x:f>IF(D16="",0,IFERROR(VLOOKUP($A16&amp;"|"&amp;D16,'생각_선택지'!$A$2:$W$61,13,FALSE),0))</x:f>
        <x:v>0</x:v>
      </x:c>
      <x:c r="V16" s="22" t="str">
        <x:v>소속감</x:v>
      </x:c>
      <x:c r="W16" s="37" t="n">
        <x:f>SUM(M5:M16)</x:f>
        <x:v>0</x:v>
      </x:c>
      <x:c r="X16" s="37" t="n">
        <x:v>23</x:v>
      </x:c>
      <x:c r="Y16" s="69" t="n">
        <x:f>IF(X16=0,0,W16/X16)</x:f>
        <x:v>0</x:v>
      </x:c>
      <x:c r="AA16" s="22" t="str">
        <x:v>확인·감시</x:v>
      </x:c>
      <x:c r="AB16" s="37" t="n">
        <x:f>COUNTIF($K$5:$K$16,AA16)</x:f>
        <x:v>0</x:v>
      </x:c>
      <x:c r="AC16" s="69" t="n">
        <x:f>AB16*4/48</x:f>
        <x:v>0</x:v>
      </x:c>
    </x:row>
    <x:row r="17">
      <x:c r="V17" s="22" t="str">
        <x:v>특별함</x:v>
      </x:c>
      <x:c r="W17" s="37" t="n">
        <x:f>SUM(N5:N16)</x:f>
        <x:v>0</x:v>
      </x:c>
      <x:c r="X17" s="37" t="n">
        <x:v>31</x:v>
      </x:c>
      <x:c r="Y17" s="69" t="n">
        <x:f>IF(X17=0,0,W17/X17)</x:f>
        <x:v>0</x:v>
      </x:c>
      <x:c r="AA17" s="22" t="str">
        <x:v>철수·거리두기</x:v>
      </x:c>
      <x:c r="AB17" s="37" t="n">
        <x:f>COUNTIF($K$5:$K$16,AA17)</x:f>
        <x:v>0</x:v>
      </x:c>
      <x:c r="AC17" s="69" t="n">
        <x:f>AB17*4/48</x:f>
        <x:v>0</x:v>
      </x:c>
    </x:row>
    <x:row r="18">
      <x:c r="V18" s="22" t="str">
        <x:v>보호자</x:v>
      </x:c>
      <x:c r="W18" s="37" t="n">
        <x:f>SUM(O5:O16)</x:f>
        <x:v>0</x:v>
      </x:c>
      <x:c r="X18" s="37" t="n">
        <x:v>10</x:v>
      </x:c>
      <x:c r="Y18" s="69" t="n">
        <x:f>IF(X18=0,0,W18/X18)</x:f>
        <x:v>0</x:v>
      </x:c>
      <x:c r="AA18" s="22" t="str">
        <x:v>과잉보상·증명</x:v>
      </x:c>
      <x:c r="AB18" s="37" t="n">
        <x:f>COUNTIF($K$5:$K$16,AA18)</x:f>
        <x:v>0</x:v>
      </x:c>
      <x:c r="AC18" s="69" t="n">
        <x:f>AB18*4/48</x:f>
        <x:v>0</x:v>
      </x:c>
    </x:row>
    <x:row r="19">
      <x:c r="V19" s="22" t="str">
        <x:v>독립심</x:v>
      </x:c>
      <x:c r="W19" s="37" t="n">
        <x:f>SUM(P5:P16)</x:f>
        <x:v>0</x:v>
      </x:c>
      <x:c r="X19" s="37" t="n">
        <x:v>12</x:v>
      </x:c>
      <x:c r="Y19" s="69" t="n">
        <x:f>IF(X19=0,0,W19/X19)</x:f>
        <x:v>0</x:v>
      </x:c>
      <x:c r="AA19" s="24" t="str">
        <x:v>직접 표현·협상</x:v>
      </x:c>
      <x:c r="AB19" s="38" t="n">
        <x:f>COUNTIF($K$5:$K$16,AA19)</x:f>
        <x:v>0</x:v>
      </x:c>
      <x:c r="AC19" s="70" t="n">
        <x:f>AB19*4/48</x:f>
        <x:v>0</x:v>
      </x:c>
    </x:row>
    <x:row r="20">
      <x:c r="V20" s="22" t="str">
        <x:v>유능함</x:v>
      </x:c>
      <x:c r="W20" s="37" t="n">
        <x:f>SUM(Q5:Q16)</x:f>
        <x:v>0</x:v>
      </x:c>
      <x:c r="X20" s="37" t="n">
        <x:v>17</x:v>
      </x:c>
      <x:c r="Y20" s="69" t="n">
        <x:f>IF(X20=0,0,W20/X20)</x:f>
        <x:v>0</x:v>
      </x:c>
    </x:row>
    <x:row r="21">
      <x:c r="V21" s="24" t="str">
        <x:v>성장·발전형</x:v>
      </x:c>
      <x:c r="W21" s="38" t="n">
        <x:f>SUM(R5:R16)</x:f>
        <x:v>0</x:v>
      </x:c>
      <x:c r="X21" s="38" t="n">
        <x:v>4</x:v>
      </x:c>
      <x:c r="Y21" s="70" t="n">
        <x:f>IF(X21=0,0,W21/X21)</x:f>
        <x:v>0</x:v>
      </x:c>
    </x:row>
  </x:sheetData>
  <x:mergeCells>
    <x:mergeCell ref="A1:T2"/>
    <x:mergeCell ref="V1:AC2"/>
  </x:mergeCells>
  <x:conditionalFormatting sqref="L5:R16">
    <x:cfRule type="dataBar" priority="1">
      <x:dataBar>
        <x:cfvo type="min"/>
        <x:cfvo type="max"/>
        <x:color rgb="FF4C78A8"/>
      </x:dataBar>
      <x:extLst>
        <x:ext xmlns:x14="http://schemas.microsoft.com/office/spreadsheetml/2009/9/main" uri="{B025F937-C7B1-47D3-B67F-A62EFF666E3E}">
          <x14:id>{9323B6B3-09D2-8FC3-12D3-2722C78E363D}</x14:id>
        </x:ext>
      </x:extLst>
    </x:cfRule>
  </x:conditionalFormatting>
  <x:conditionalFormatting sqref="Y15:Y21">
    <x:cfRule type="dataBar" priority="2">
      <x:dataBar>
        <x:cfvo type="min"/>
        <x:cfvo type="max"/>
        <x:color rgb="FF59A14F"/>
      </x:dataBar>
      <x:extLst>
        <x:ext xmlns:x14="http://schemas.microsoft.com/office/spreadsheetml/2009/9/main" uri="{B025F937-C7B1-47D3-B67F-A62EFF666E3E}">
          <x14:id>{95DAFC62-F16B-EF15-79E3-2047B964BAEE}</x14:id>
        </x:ext>
      </x:extLst>
    </x:cfRule>
  </x:conditionalFormatting>
  <x:conditionalFormatting sqref="AC15:AC19">
    <x:cfRule type="dataBar" priority="3">
      <x:dataBar>
        <x:cfvo type="min"/>
        <x:cfvo type="max"/>
        <x:color rgb="FFF28E2B"/>
      </x:dataBar>
      <x:extLst>
        <x:ext xmlns:x14="http://schemas.microsoft.com/office/spreadsheetml/2009/9/main" uri="{B025F937-C7B1-47D3-B67F-A62EFF666E3E}">
          <x14:id>{6D2E90AA-BA9A-2D6C-7846-E6128A277A08}</x14:id>
        </x:ext>
      </x:extLst>
    </x:cfRule>
  </x:conditionalFormatting>
  <x:dataValidations count="2">
    <x:dataValidation type="list" sqref="D5:D16">
      <x:formula1>"1,2,3,4,5"</x:formula1>
    </x:dataValidation>
    <x:dataValidation type="list" sqref="F5:F16">
      <x:formula1>"1,2,3,4,5"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323B6B3-09D2-8FC3-12D3-2722C78E363D}">
            <x14:dataBar gradient="1">
              <x14:cfvo type="min"/>
              <x14:cfvo type="max"/>
              <x14:fillColor rgb="FF4C78A8"/>
            </x14:dataBar>
          </x14:cfRule>
          <xm:sqref>L5:R16</xm:sqref>
        </x14:conditionalFormatting>
        <x14:conditionalFormatting>
          <x14:cfRule type="dataBar" priority="2" id="{95DAFC62-F16B-EF15-79E3-2047B964BAEE}">
            <x14:dataBar gradient="1">
              <x14:cfvo type="min"/>
              <x14:cfvo type="max"/>
              <x14:fillColor rgb="FF59A14F"/>
            </x14:dataBar>
          </x14:cfRule>
          <xm:sqref>Y15:Y21</xm:sqref>
        </x14:conditionalFormatting>
        <x14:conditionalFormatting>
          <x14:cfRule type="dataBar" priority="3" id="{6D2E90AA-BA9A-2D6C-7846-E6128A277A08}">
            <x14:dataBar gradient="1">
              <x14:cfvo type="min"/>
              <x14:cfvo type="max"/>
              <x14:fillColor rgb="FFF28E2B"/>
            </x14:dataBar>
          </x14:cfRule>
          <xm:sqref>AC15:AC19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9" hidden="0" customWidth="1"/>
    <x:col min="3" max="3" width="27" hidden="0" customWidth="1"/>
    <x:col min="4" max="4" width="44" hidden="0" customWidth="1"/>
    <x:col min="5" max="5" width="9" hidden="0" customWidth="1"/>
    <x:col min="6" max="6" width="42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>
      <x:c r="A1" s="20" t="str">
        <x:v>키</x:v>
      </x:c>
      <x:c r="B1" s="36" t="str">
        <x:v>상황ID</x:v>
      </x:c>
      <x:c r="C1" s="36" t="str">
        <x:v>상황명</x:v>
      </x:c>
      <x:c r="D1" s="36" t="str">
        <x:v>생각 문항</x:v>
      </x:c>
      <x:c r="E1" s="36" t="str">
        <x:v>선택번호</x:v>
      </x:c>
      <x:c r="F1" s="36" t="str">
        <x:v>응답</x:v>
      </x:c>
      <x:c r="G1" s="36" t="str">
        <x:v>원본 주욕구</x:v>
      </x:c>
      <x:c r="H1" s="36" t="str">
        <x:v>원본 보조욕구</x:v>
      </x:c>
      <x:c r="I1" s="36" t="str">
        <x:v>7유형 주욕구</x:v>
      </x:c>
      <x:c r="J1" s="36" t="str">
        <x:v>7유형 보조욕구</x:v>
      </x:c>
      <x:c r="K1" s="36" t="str">
        <x:v>주점수</x:v>
      </x:c>
      <x:c r="L1" s="36" t="str">
        <x:v>보조점수</x:v>
      </x:c>
      <x:c r="M1" s="36" t="str">
        <x:v>위협활성화</x:v>
      </x:c>
      <x:c r="N1" s="36" t="str">
        <x:v>해석스타일</x:v>
      </x:c>
      <x:c r="O1" s="36" t="str">
        <x:v>유연한재해석점수</x:v>
      </x:c>
      <x:c r="P1" s="36" t="str">
        <x:v>결과처리</x:v>
      </x:c>
      <x:c r="Q1" s="36" t="str">
        <x:v>안전성</x:v>
      </x:c>
      <x:c r="R1" s="36" t="str">
        <x:v>소속감</x:v>
      </x:c>
      <x:c r="S1" s="36" t="str">
        <x:v>특별함</x:v>
      </x:c>
      <x:c r="T1" s="36" t="str">
        <x:v>보호자</x:v>
      </x:c>
      <x:c r="U1" s="36" t="str">
        <x:v>독립심</x:v>
      </x:c>
      <x:c r="V1" s="36" t="str">
        <x:v>유능함</x:v>
      </x:c>
      <x:c r="W1" s="21" t="str">
        <x:v>성장·발전형</x:v>
      </x:c>
    </x:row>
    <x:row r="2">
      <x:c r="A2" s="22" t="str">
        <x:v>S01|1</x:v>
      </x:c>
      <x:c r="B2" s="37" t="str">
        <x:v>S01</x:v>
      </x:c>
      <x:c r="C2" s="41" t="str">
        <x:v>질투하는 모습</x:v>
      </x:c>
      <x:c r="D2" s="41" t="str">
        <x:v>상대가 전혀 질투하지 않는다면 나는 어떤 생각이 가장 먼저 들까요?</x:v>
      </x:c>
      <x:c r="E2" s="41" t="n">
        <x:v>1</x:v>
      </x:c>
      <x:c r="F2" s="41" t="str">
        <x:v>나는 그다지 매력적이지 않은가 보다.</x:v>
      </x:c>
      <x:c r="G2" s="37" t="str">
        <x:v>recognition</x:v>
      </x:c>
      <x:c r="H2" s="37" t="str">
        <x:v>specialness</x:v>
      </x:c>
      <x:c r="I2" s="45" t="str">
        <x:v>특별함</x:v>
      </x:c>
      <x:c r="J2" s="45" t="str"/>
      <x:c r="K2" s="37" t="n">
        <x:v>4</x:v>
      </x:c>
      <x:c r="L2" s="37" t="n">
        <x:v>0</x:v>
      </x:c>
      <x:c r="M2" s="37" t="n">
        <x:v>1</x:v>
      </x:c>
      <x:c r="N2" s="37" t="str">
        <x:v>self_devaluation</x:v>
      </x:c>
      <x:c r="O2" s="37" t="n">
        <x:v>0</x:v>
      </x:c>
      <x:c r="P2" s="37" t="str">
        <x:v>욕구 위협 반응</x:v>
      </x:c>
      <x:c r="Q2" s="37" t="n">
        <x:v>0</x:v>
      </x:c>
      <x:c r="R2" s="37" t="n">
        <x:v>0</x:v>
      </x:c>
      <x:c r="S2" s="37" t="n">
        <x:v>4</x:v>
      </x:c>
      <x:c r="T2" s="37" t="n">
        <x:v>0</x:v>
      </x:c>
      <x:c r="U2" s="37" t="n">
        <x:v>0</x:v>
      </x:c>
      <x:c r="V2" s="37" t="n">
        <x:v>0</x:v>
      </x:c>
      <x:c r="W2" s="23" t="n">
        <x:v>0</x:v>
      </x:c>
    </x:row>
    <x:row r="3">
      <x:c r="A3" s="22" t="str">
        <x:v>S01|2</x:v>
      </x:c>
      <x:c r="B3" s="37" t="str">
        <x:v>S01</x:v>
      </x:c>
      <x:c r="C3" s="41" t="str">
        <x:v>질투하는 모습</x:v>
      </x:c>
      <x:c r="D3" s="41" t="str">
        <x:v>상대가 전혀 질투하지 않는다면 나는 어떤 생각이 가장 먼저 들까요?</x:v>
      </x:c>
      <x:c r="E3" s="41" t="n">
        <x:v>2</x:v>
      </x:c>
      <x:c r="F3" s="41" t="str">
        <x:v>나를 잃어도 별로 상관없나 보다.</x:v>
      </x:c>
      <x:c r="G3" s="37" t="str">
        <x:v>safety</x:v>
      </x:c>
      <x:c r="H3" s="37" t="str">
        <x:v>specialness</x:v>
      </x:c>
      <x:c r="I3" s="45" t="str">
        <x:v>안전성</x:v>
      </x:c>
      <x:c r="J3" s="45" t="str">
        <x:v>특별함</x:v>
      </x:c>
      <x:c r="K3" s="37" t="n">
        <x:v>4</x:v>
      </x:c>
      <x:c r="L3" s="37" t="n">
        <x:v>1</x:v>
      </x:c>
      <x:c r="M3" s="37" t="n">
        <x:v>1</x:v>
      </x:c>
      <x:c r="N3" s="37" t="str">
        <x:v>abandonment</x:v>
      </x:c>
      <x:c r="O3" s="37" t="n">
        <x:v>0</x:v>
      </x:c>
      <x:c r="P3" s="37" t="str">
        <x:v>욕구 위협 반응</x:v>
      </x:c>
      <x:c r="Q3" s="37" t="n">
        <x:v>4</x:v>
      </x:c>
      <x:c r="R3" s="37" t="n">
        <x:v>0</x:v>
      </x:c>
      <x:c r="S3" s="37" t="n">
        <x:v>1</x:v>
      </x:c>
      <x:c r="T3" s="37" t="n">
        <x:v>0</x:v>
      </x:c>
      <x:c r="U3" s="37" t="n">
        <x:v>0</x:v>
      </x:c>
      <x:c r="V3" s="37" t="n">
        <x:v>0</x:v>
      </x:c>
      <x:c r="W3" s="23" t="n">
        <x:v>0</x:v>
      </x:c>
    </x:row>
    <x:row r="4">
      <x:c r="A4" s="22" t="str">
        <x:v>S01|3</x:v>
      </x:c>
      <x:c r="B4" s="37" t="str">
        <x:v>S01</x:v>
      </x:c>
      <x:c r="C4" s="41" t="str">
        <x:v>질투하는 모습</x:v>
      </x:c>
      <x:c r="D4" s="41" t="str">
        <x:v>상대가 전혀 질투하지 않는다면 나는 어떤 생각이 가장 먼저 들까요?</x:v>
      </x:c>
      <x:c r="E4" s="41" t="n">
        <x:v>3</x:v>
      </x:c>
      <x:c r="F4" s="41" t="str">
        <x:v>내 마음이나 상황에는 관심이 없나 보다.</x:v>
      </x:c>
      <x:c r="G4" s="37" t="str">
        <x:v>intimacy</x:v>
      </x:c>
      <x:c r="H4" s="37" t="str">
        <x:v>care</x:v>
      </x:c>
      <x:c r="I4" s="45" t="str">
        <x:v>소속감</x:v>
      </x:c>
      <x:c r="J4" s="45" t="str">
        <x:v>보호자</x:v>
      </x:c>
      <x:c r="K4" s="37" t="n">
        <x:v>4</x:v>
      </x:c>
      <x:c r="L4" s="37" t="n">
        <x:v>1</x:v>
      </x:c>
      <x:c r="M4" s="37" t="n">
        <x:v>1</x:v>
      </x:c>
      <x:c r="N4" s="37" t="str">
        <x:v>emotional_neglect</x:v>
      </x:c>
      <x:c r="O4" s="37" t="n">
        <x:v>0</x:v>
      </x:c>
      <x:c r="P4" s="37" t="str">
        <x:v>욕구 위협 반응</x:v>
      </x:c>
      <x:c r="Q4" s="37" t="n">
        <x:v>0</x:v>
      </x:c>
      <x:c r="R4" s="37" t="n">
        <x:v>4</x:v>
      </x:c>
      <x:c r="S4" s="37" t="n">
        <x:v>0</x:v>
      </x:c>
      <x:c r="T4" s="37" t="n">
        <x:v>1</x:v>
      </x:c>
      <x:c r="U4" s="37" t="n">
        <x:v>0</x:v>
      </x:c>
      <x:c r="V4" s="37" t="n">
        <x:v>0</x:v>
      </x:c>
      <x:c r="W4" s="23" t="n">
        <x:v>0</x:v>
      </x:c>
    </x:row>
    <x:row r="5">
      <x:c r="A5" s="22" t="str">
        <x:v>S01|4</x:v>
      </x:c>
      <x:c r="B5" s="37" t="str">
        <x:v>S01</x:v>
      </x:c>
      <x:c r="C5" s="41" t="str">
        <x:v>질투하는 모습</x:v>
      </x:c>
      <x:c r="D5" s="41" t="str">
        <x:v>상대가 전혀 질투하지 않는다면 나는 어떤 생각이 가장 먼저 들까요?</x:v>
      </x:c>
      <x:c r="E5" s="41" t="n">
        <x:v>4</x:v>
      </x:c>
      <x:c r="F5" s="41" t="str">
        <x:v>나를 신뢰하는 것이므로 오히려 편하다.</x:v>
      </x:c>
      <x:c r="G5" s="37" t="str"/>
      <x:c r="H5" s="37" t="str"/>
      <x:c r="I5" s="45" t="str">
        <x:v>유연한 재해석</x:v>
      </x:c>
      <x:c r="J5" s="45" t="str"/>
      <x:c r="K5" s="37" t="n">
        <x:v>0</x:v>
      </x:c>
      <x:c r="L5" s="37" t="n">
        <x:v>0</x:v>
      </x:c>
      <x:c r="M5" s="37" t="n">
        <x:v>0</x:v>
      </x:c>
      <x:c r="N5" s="37" t="str">
        <x:v>contextual_reappraisal</x:v>
      </x:c>
      <x:c r="O5" s="37" t="n">
        <x:v>3</x:v>
      </x:c>
      <x:c r="P5" s="37" t="str">
        <x:v>상황을 고려한 재해석</x:v>
      </x:c>
      <x:c r="Q5" s="37" t="n">
        <x:v>0</x:v>
      </x:c>
      <x:c r="R5" s="37" t="n">
        <x:v>0</x:v>
      </x:c>
      <x:c r="S5" s="37" t="n">
        <x:v>0</x:v>
      </x:c>
      <x:c r="T5" s="37" t="n">
        <x:v>0</x:v>
      </x:c>
      <x:c r="U5" s="37" t="n">
        <x:v>0</x:v>
      </x:c>
      <x:c r="V5" s="37" t="n">
        <x:v>0</x:v>
      </x:c>
      <x:c r="W5" s="23" t="n">
        <x:v>0</x:v>
      </x:c>
    </x:row>
    <x:row r="6">
      <x:c r="A6" s="22" t="str">
        <x:v>S01|5</x:v>
      </x:c>
      <x:c r="B6" s="37" t="str">
        <x:v>S01</x:v>
      </x:c>
      <x:c r="C6" s="41" t="str">
        <x:v>질투하는 모습</x:v>
      </x:c>
      <x:c r="D6" s="41" t="str">
        <x:v>상대가 전혀 질투하지 않는다면 나는 어떤 생각이 가장 먼저 들까요?</x:v>
      </x:c>
      <x:c r="E6" s="41" t="n">
        <x:v>5</x:v>
      </x:c>
      <x:c r="F6" s="41" t="str">
        <x:v>질투 여부가 사랑의 크기를 의미하지는 않는다고 생각한다.</x:v>
      </x:c>
      <x:c r="G6" s="37" t="str"/>
      <x:c r="H6" s="37" t="str"/>
      <x:c r="I6" s="45" t="str">
        <x:v>유연한 재해석</x:v>
      </x:c>
      <x:c r="J6" s="45" t="str"/>
      <x:c r="K6" s="37" t="n">
        <x:v>0</x:v>
      </x:c>
      <x:c r="L6" s="37" t="n">
        <x:v>0</x:v>
      </x:c>
      <x:c r="M6" s="37" t="n">
        <x:v>0</x:v>
      </x:c>
      <x:c r="N6" s="37" t="str">
        <x:v>secure_reappraisal</x:v>
      </x:c>
      <x:c r="O6" s="37" t="n">
        <x:v>4</x:v>
      </x:c>
      <x:c r="P6" s="37" t="str">
        <x:v>유연한 재해석</x:v>
      </x:c>
      <x:c r="Q6" s="37" t="n">
        <x:v>0</x:v>
      </x:c>
      <x:c r="R6" s="37" t="n">
        <x:v>0</x:v>
      </x:c>
      <x:c r="S6" s="37" t="n">
        <x:v>0</x:v>
      </x:c>
      <x:c r="T6" s="37" t="n">
        <x:v>0</x:v>
      </x:c>
      <x:c r="U6" s="37" t="n">
        <x:v>0</x:v>
      </x:c>
      <x:c r="V6" s="37" t="n">
        <x:v>0</x:v>
      </x:c>
      <x:c r="W6" s="23" t="n">
        <x:v>0</x:v>
      </x:c>
    </x:row>
    <x:row r="7">
      <x:c r="A7" s="22" t="str">
        <x:v>S02|1</x:v>
      </x:c>
      <x:c r="B7" s="37" t="str">
        <x:v>S02</x:v>
      </x:c>
      <x:c r="C7" s="41" t="str">
        <x:v>아플 때 모든 일을 제쳐두고 오는 모습</x:v>
      </x:c>
      <x:c r="D7" s="41" t="str">
        <x:v>내가 아픈데도 상대가 모든 일을 제쳐두고 오지 않는다면 나는 어떤 생각이 가장 먼저 들까요?</x:v>
      </x:c>
      <x:c r="E7" s="41" t="n">
        <x:v>1</x:v>
      </x:c>
      <x:c r="F7" s="41" t="str">
        <x:v>나는 상대에게 우선순위가 높은 사람이 아닌가 보다.</x:v>
      </x:c>
      <x:c r="G7" s="37" t="str">
        <x:v>specialness</x:v>
      </x:c>
      <x:c r="H7" s="37" t="str">
        <x:v>safety</x:v>
      </x:c>
      <x:c r="I7" s="45" t="str">
        <x:v>특별함</x:v>
      </x:c>
      <x:c r="J7" s="45" t="str">
        <x:v>안전성</x:v>
      </x:c>
      <x:c r="K7" s="37" t="n">
        <x:v>4</x:v>
      </x:c>
      <x:c r="L7" s="37" t="n">
        <x:v>1</x:v>
      </x:c>
      <x:c r="M7" s="37" t="n">
        <x:v>1</x:v>
      </x:c>
      <x:c r="N7" s="37" t="str">
        <x:v>low_priority</x:v>
      </x:c>
      <x:c r="O7" s="37" t="n">
        <x:v>0</x:v>
      </x:c>
      <x:c r="P7" s="37" t="str">
        <x:v>욕구 위협 반응</x:v>
      </x:c>
      <x:c r="Q7" s="37" t="n">
        <x:v>1</x:v>
      </x:c>
      <x:c r="R7" s="37" t="n">
        <x:v>0</x:v>
      </x:c>
      <x:c r="S7" s="37" t="n">
        <x:v>4</x:v>
      </x:c>
      <x:c r="T7" s="37" t="n">
        <x:v>0</x:v>
      </x:c>
      <x:c r="U7" s="37" t="n">
        <x:v>0</x:v>
      </x:c>
      <x:c r="V7" s="37" t="n">
        <x:v>0</x:v>
      </x:c>
      <x:c r="W7" s="23" t="n">
        <x:v>0</x:v>
      </x:c>
    </x:row>
    <x:row r="8">
      <x:c r="A8" s="22" t="str">
        <x:v>S02|2</x:v>
      </x:c>
      <x:c r="B8" s="37" t="str">
        <x:v>S02</x:v>
      </x:c>
      <x:c r="C8" s="41" t="str">
        <x:v>아플 때 모든 일을 제쳐두고 오는 모습</x:v>
      </x:c>
      <x:c r="D8" s="41" t="str">
        <x:v>내가 아픈데도 상대가 모든 일을 제쳐두고 오지 않는다면 나는 어떤 생각이 가장 먼저 들까요?</x:v>
      </x:c>
      <x:c r="E8" s="41" t="n">
        <x:v>2</x:v>
      </x:c>
      <x:c r="F8" s="41" t="str">
        <x:v>정말 힘든 순간에도 결국 혼자 버텨야 하는구나.</x:v>
      </x:c>
      <x:c r="G8" s="37" t="str">
        <x:v>safety</x:v>
      </x:c>
      <x:c r="H8" s="37" t="str">
        <x:v>care</x:v>
      </x:c>
      <x:c r="I8" s="45" t="str">
        <x:v>안전성</x:v>
      </x:c>
      <x:c r="J8" s="45" t="str">
        <x:v>보호자</x:v>
      </x:c>
      <x:c r="K8" s="37" t="n">
        <x:v>4</x:v>
      </x:c>
      <x:c r="L8" s="37" t="n">
        <x:v>1</x:v>
      </x:c>
      <x:c r="M8" s="37" t="n">
        <x:v>1</x:v>
      </x:c>
      <x:c r="N8" s="37" t="str">
        <x:v>unreliable_support</x:v>
      </x:c>
      <x:c r="O8" s="37" t="n">
        <x:v>0</x:v>
      </x:c>
      <x:c r="P8" s="37" t="str">
        <x:v>욕구 위협 반응</x:v>
      </x:c>
      <x:c r="Q8" s="37" t="n">
        <x:v>4</x:v>
      </x:c>
      <x:c r="R8" s="37" t="n">
        <x:v>0</x:v>
      </x:c>
      <x:c r="S8" s="37" t="n">
        <x:v>0</x:v>
      </x:c>
      <x:c r="T8" s="37" t="n">
        <x:v>1</x:v>
      </x:c>
      <x:c r="U8" s="37" t="n">
        <x:v>0</x:v>
      </x:c>
      <x:c r="V8" s="37" t="n">
        <x:v>0</x:v>
      </x:c>
      <x:c r="W8" s="23" t="n">
        <x:v>0</x:v>
      </x:c>
    </x:row>
    <x:row r="9">
      <x:c r="A9" s="22" t="str">
        <x:v>S02|3</x:v>
      </x:c>
      <x:c r="B9" s="37" t="str">
        <x:v>S02</x:v>
      </x:c>
      <x:c r="C9" s="41" t="str">
        <x:v>아플 때 모든 일을 제쳐두고 오는 모습</x:v>
      </x:c>
      <x:c r="D9" s="41" t="str">
        <x:v>내가 아픈데도 상대가 모든 일을 제쳐두고 오지 않는다면 나는 어떤 생각이 가장 먼저 들까요?</x:v>
      </x:c>
      <x:c r="E9" s="41" t="n">
        <x:v>3</x:v>
      </x:c>
      <x:c r="F9" s="41" t="str">
        <x:v>상대는 나를 돌볼 만큼 사랑하지 않는 것 같다.</x:v>
      </x:c>
      <x:c r="G9" s="37" t="str">
        <x:v>care</x:v>
      </x:c>
      <x:c r="H9" s="37" t="str">
        <x:v>intimacy</x:v>
      </x:c>
      <x:c r="I9" s="45" t="str">
        <x:v>보호자</x:v>
      </x:c>
      <x:c r="J9" s="45" t="str">
        <x:v>소속감</x:v>
      </x:c>
      <x:c r="K9" s="37" t="n">
        <x:v>4</x:v>
      </x:c>
      <x:c r="L9" s="37" t="n">
        <x:v>1</x:v>
      </x:c>
      <x:c r="M9" s="37" t="n">
        <x:v>1</x:v>
      </x:c>
      <x:c r="N9" s="37" t="str">
        <x:v>emotional_neglect</x:v>
      </x:c>
      <x:c r="O9" s="37" t="n">
        <x:v>0</x:v>
      </x:c>
      <x:c r="P9" s="37" t="str">
        <x:v>욕구 위협 반응</x:v>
      </x:c>
      <x:c r="Q9" s="37" t="n">
        <x:v>0</x:v>
      </x:c>
      <x:c r="R9" s="37" t="n">
        <x:v>1</x:v>
      </x:c>
      <x:c r="S9" s="37" t="n">
        <x:v>0</x:v>
      </x:c>
      <x:c r="T9" s="37" t="n">
        <x:v>4</x:v>
      </x:c>
      <x:c r="U9" s="37" t="n">
        <x:v>0</x:v>
      </x:c>
      <x:c r="V9" s="37" t="n">
        <x:v>0</x:v>
      </x:c>
      <x:c r="W9" s="23" t="n">
        <x:v>0</x:v>
      </x:c>
    </x:row>
    <x:row r="10">
      <x:c r="A10" s="22" t="str">
        <x:v>S02|4</x:v>
      </x:c>
      <x:c r="B10" s="37" t="str">
        <x:v>S02</x:v>
      </x:c>
      <x:c r="C10" s="41" t="str">
        <x:v>아플 때 모든 일을 제쳐두고 오는 모습</x:v>
      </x:c>
      <x:c r="D10" s="41" t="str">
        <x:v>내가 아픈데도 상대가 모든 일을 제쳐두고 오지 않는다면 나는 어떤 생각이 가장 먼저 들까요?</x:v>
      </x:c>
      <x:c r="E10" s="41" t="n">
        <x:v>4</x:v>
      </x:c>
      <x:c r="F10" s="41" t="str">
        <x:v>상대에게도 지켜야 할 일정과 사정이 있을 수 있다고 생각한다.</x:v>
      </x:c>
      <x:c r="G10" s="37" t="str"/>
      <x:c r="H10" s="37" t="str"/>
      <x:c r="I10" s="45" t="str">
        <x:v>유연한 재해석</x:v>
      </x:c>
      <x:c r="J10" s="45" t="str"/>
      <x:c r="K10" s="37" t="n">
        <x:v>0</x:v>
      </x:c>
      <x:c r="L10" s="37" t="n">
        <x:v>0</x:v>
      </x:c>
      <x:c r="M10" s="37" t="n">
        <x:v>0</x:v>
      </x:c>
      <x:c r="N10" s="37" t="str">
        <x:v>contextual_reappraisal</x:v>
      </x:c>
      <x:c r="O10" s="37" t="n">
        <x:v>3</x:v>
      </x:c>
      <x:c r="P10" s="37" t="str">
        <x:v>상황을 고려한 재해석</x:v>
      </x:c>
      <x:c r="Q10" s="37" t="n">
        <x:v>0</x:v>
      </x:c>
      <x:c r="R10" s="37" t="n">
        <x:v>0</x:v>
      </x:c>
      <x:c r="S10" s="37" t="n">
        <x:v>0</x:v>
      </x:c>
      <x:c r="T10" s="37" t="n">
        <x:v>0</x:v>
      </x:c>
      <x:c r="U10" s="37" t="n">
        <x:v>0</x:v>
      </x:c>
      <x:c r="V10" s="37" t="n">
        <x:v>0</x:v>
      </x:c>
      <x:c r="W10" s="23" t="n">
        <x:v>0</x:v>
      </x:c>
    </x:row>
    <x:row r="11">
      <x:c r="A11" s="22" t="str">
        <x:v>S02|5</x:v>
      </x:c>
      <x:c r="B11" s="37" t="str">
        <x:v>S02</x:v>
      </x:c>
      <x:c r="C11" s="41" t="str">
        <x:v>아플 때 모든 일을 제쳐두고 오는 모습</x:v>
      </x:c>
      <x:c r="D11" s="41" t="str">
        <x:v>내가 아픈데도 상대가 모든 일을 제쳐두고 오지 않는다면 나는 어떤 생각이 가장 먼저 들까요?</x:v>
      </x:c>
      <x:c r="E11" s="41" t="n">
        <x:v>5</x:v>
      </x:c>
      <x:c r="F11" s="41" t="str">
        <x:v>직접 오지 못하더라도 다른 방식으로 관심을 표현할 수 있다고 생각한다.</x:v>
      </x:c>
      <x:c r="G11" s="37" t="str"/>
      <x:c r="H11" s="37" t="str"/>
      <x:c r="I11" s="45" t="str">
        <x:v>유연한 재해석</x:v>
      </x:c>
      <x:c r="J11" s="45" t="str"/>
      <x:c r="K11" s="37" t="n">
        <x:v>0</x:v>
      </x:c>
      <x:c r="L11" s="37" t="n">
        <x:v>0</x:v>
      </x:c>
      <x:c r="M11" s="37" t="n">
        <x:v>0</x:v>
      </x:c>
      <x:c r="N11" s="37" t="str">
        <x:v>secure_reappraisal</x:v>
      </x:c>
      <x:c r="O11" s="37" t="n">
        <x:v>4</x:v>
      </x:c>
      <x:c r="P11" s="37" t="str">
        <x:v>유연한 재해석</x:v>
      </x:c>
      <x:c r="Q11" s="37" t="n">
        <x:v>0</x:v>
      </x:c>
      <x:c r="R11" s="37" t="n">
        <x:v>0</x:v>
      </x:c>
      <x:c r="S11" s="37" t="n">
        <x:v>0</x:v>
      </x:c>
      <x:c r="T11" s="37" t="n">
        <x:v>0</x:v>
      </x:c>
      <x:c r="U11" s="37" t="n">
        <x:v>0</x:v>
      </x:c>
      <x:c r="V11" s="37" t="n">
        <x:v>0</x:v>
      </x:c>
      <x:c r="W11" s="23" t="n">
        <x:v>0</x:v>
      </x:c>
    </x:row>
    <x:row r="12">
      <x:c r="A12" s="22" t="str">
        <x:v>S03|1</x:v>
      </x:c>
      <x:c r="B12" s="37" t="str">
        <x:v>S03</x:v>
      </x:c>
      <x:c r="C12" s="41" t="str">
        <x:v>사람들 앞에서 나를 자랑하는 모습</x:v>
      </x:c>
      <x:c r="D12" s="41" t="str">
        <x:v>상대가 사람들 앞에서 나를 자랑하거나 좋은 점을 이야기하지 않는다면 나는 어떤 생각이 가장 먼저 들까요?</x:v>
      </x:c>
      <x:c r="E12" s="41" t="n">
        <x:v>1</x:v>
      </x:c>
      <x:c r="F12" s="41" t="str">
        <x:v>상대가 나를 자랑스러운 사람이라고 생각하지 않는 것 같다.</x:v>
      </x:c>
      <x:c r="G12" s="37" t="str">
        <x:v>recognition</x:v>
      </x:c>
      <x:c r="H12" s="37" t="str">
        <x:v>specialness</x:v>
      </x:c>
      <x:c r="I12" s="45" t="str">
        <x:v>특별함</x:v>
      </x:c>
      <x:c r="J12" s="45" t="str"/>
      <x:c r="K12" s="37" t="n">
        <x:v>4</x:v>
      </x:c>
      <x:c r="L12" s="37" t="n">
        <x:v>0</x:v>
      </x:c>
      <x:c r="M12" s="37" t="n">
        <x:v>1</x:v>
      </x:c>
      <x:c r="N12" s="37" t="str">
        <x:v>lack_of_validation</x:v>
      </x:c>
      <x:c r="O12" s="37" t="n">
        <x:v>0</x:v>
      </x:c>
      <x:c r="P12" s="37" t="str">
        <x:v>욕구 위협 반응</x:v>
      </x:c>
      <x:c r="Q12" s="37" t="n">
        <x:v>0</x:v>
      </x:c>
      <x:c r="R12" s="37" t="n">
        <x:v>0</x:v>
      </x:c>
      <x:c r="S12" s="37" t="n">
        <x:v>4</x:v>
      </x:c>
      <x:c r="T12" s="37" t="n">
        <x:v>0</x:v>
      </x:c>
      <x:c r="U12" s="37" t="n">
        <x:v>0</x:v>
      </x:c>
      <x:c r="V12" s="37" t="n">
        <x:v>0</x:v>
      </x:c>
      <x:c r="W12" s="23" t="n">
        <x:v>0</x:v>
      </x:c>
    </x:row>
    <x:row r="13">
      <x:c r="A13" s="22" t="str">
        <x:v>S03|2</x:v>
      </x:c>
      <x:c r="B13" s="37" t="str">
        <x:v>S03</x:v>
      </x:c>
      <x:c r="C13" s="41" t="str">
        <x:v>사람들 앞에서 나를 자랑하는 모습</x:v>
      </x:c>
      <x:c r="D13" s="41" t="str">
        <x:v>상대가 사람들 앞에서 나를 자랑하거나 좋은 점을 이야기하지 않는다면 나는 어떤 생각이 가장 먼저 들까요?</x:v>
      </x:c>
      <x:c r="E13" s="41" t="n">
        <x:v>2</x:v>
      </x:c>
      <x:c r="F13" s="41" t="str">
        <x:v>내가 다른 사람들에게 내세울 만큼 매력적이거나 유능하지 않은가 보다.</x:v>
      </x:c>
      <x:c r="G13" s="37" t="str">
        <x:v>recognition</x:v>
      </x:c>
      <x:c r="H13" s="37" t="str">
        <x:v>competence</x:v>
      </x:c>
      <x:c r="I13" s="45" t="str">
        <x:v>유능함</x:v>
      </x:c>
      <x:c r="J13" s="45" t="str"/>
      <x:c r="K13" s="37" t="n">
        <x:v>4</x:v>
      </x:c>
      <x:c r="L13" s="37" t="n">
        <x:v>0</x:v>
      </x:c>
      <x:c r="M13" s="37" t="n">
        <x:v>1</x:v>
      </x:c>
      <x:c r="N13" s="37" t="str">
        <x:v>self_devaluation</x:v>
      </x:c>
      <x:c r="O13" s="37" t="n">
        <x:v>0</x:v>
      </x:c>
      <x:c r="P13" s="37" t="str">
        <x:v>욕구 위협 반응</x:v>
      </x:c>
      <x:c r="Q13" s="37" t="n">
        <x:v>0</x:v>
      </x:c>
      <x:c r="R13" s="37" t="n">
        <x:v>0</x:v>
      </x:c>
      <x:c r="S13" s="37" t="n">
        <x:v>0</x:v>
      </x:c>
      <x:c r="T13" s="37" t="n">
        <x:v>0</x:v>
      </x:c>
      <x:c r="U13" s="37" t="n">
        <x:v>0</x:v>
      </x:c>
      <x:c r="V13" s="37" t="n">
        <x:v>4</x:v>
      </x:c>
      <x:c r="W13" s="23" t="n">
        <x:v>0</x:v>
      </x:c>
    </x:row>
    <x:row r="14">
      <x:c r="A14" s="22" t="str">
        <x:v>S03|3</x:v>
      </x:c>
      <x:c r="B14" s="37" t="str">
        <x:v>S03</x:v>
      </x:c>
      <x:c r="C14" s="41" t="str">
        <x:v>사람들 앞에서 나를 자랑하는 모습</x:v>
      </x:c>
      <x:c r="D14" s="41" t="str">
        <x:v>상대가 사람들 앞에서 나를 자랑하거나 좋은 점을 이야기하지 않는다면 나는 어떤 생각이 가장 먼저 들까요?</x:v>
      </x:c>
      <x:c r="E14" s="41" t="n">
        <x:v>3</x:v>
      </x:c>
      <x:c r="F14" s="41" t="str">
        <x:v>상대가 우리 관계를 공개적으로 인정하고 싶지 않은 것 같다.</x:v>
      </x:c>
      <x:c r="G14" s="37" t="str">
        <x:v>safety</x:v>
      </x:c>
      <x:c r="H14" s="37" t="str">
        <x:v>recognition</x:v>
      </x:c>
      <x:c r="I14" s="45" t="str">
        <x:v>안전성</x:v>
      </x:c>
      <x:c r="J14" s="45" t="str">
        <x:v>특별함</x:v>
      </x:c>
      <x:c r="K14" s="37" t="n">
        <x:v>4</x:v>
      </x:c>
      <x:c r="L14" s="37" t="n">
        <x:v>1</x:v>
      </x:c>
      <x:c r="M14" s="37" t="n">
        <x:v>1</x:v>
      </x:c>
      <x:c r="N14" s="37" t="str">
        <x:v>relationship_exclusion</x:v>
      </x:c>
      <x:c r="O14" s="37" t="n">
        <x:v>0</x:v>
      </x:c>
      <x:c r="P14" s="37" t="str">
        <x:v>욕구 위협 반응</x:v>
      </x:c>
      <x:c r="Q14" s="37" t="n">
        <x:v>4</x:v>
      </x:c>
      <x:c r="R14" s="37" t="n">
        <x:v>0</x:v>
      </x:c>
      <x:c r="S14" s="37" t="n">
        <x:v>1</x:v>
      </x:c>
      <x:c r="T14" s="37" t="n">
        <x:v>0</x:v>
      </x:c>
      <x:c r="U14" s="37" t="n">
        <x:v>0</x:v>
      </x:c>
      <x:c r="V14" s="37" t="n">
        <x:v>0</x:v>
      </x:c>
      <x:c r="W14" s="23" t="n">
        <x:v>0</x:v>
      </x:c>
    </x:row>
    <x:row r="15">
      <x:c r="A15" s="22" t="str">
        <x:v>S03|4</x:v>
      </x:c>
      <x:c r="B15" s="37" t="str">
        <x:v>S03</x:v>
      </x:c>
      <x:c r="C15" s="41" t="str">
        <x:v>사람들 앞에서 나를 자랑하는 모습</x:v>
      </x:c>
      <x:c r="D15" s="41" t="str">
        <x:v>상대가 사람들 앞에서 나를 자랑하거나 좋은 점을 이야기하지 않는다면 나는 어떤 생각이 가장 먼저 들까요?</x:v>
      </x:c>
      <x:c r="E15" s="41" t="n">
        <x:v>4</x:v>
      </x:c>
      <x:c r="F15" s="41" t="str">
        <x:v>사람들 앞에서 연인을 자랑하는 것이 불편한 성격일 수도 있다고 생각한다.</x:v>
      </x:c>
      <x:c r="G15" s="37" t="str"/>
      <x:c r="H15" s="37" t="str"/>
      <x:c r="I15" s="45" t="str">
        <x:v>유연한 재해석</x:v>
      </x:c>
      <x:c r="J15" s="45" t="str"/>
      <x:c r="K15" s="37" t="n">
        <x:v>0</x:v>
      </x:c>
      <x:c r="L15" s="37" t="n">
        <x:v>0</x:v>
      </x:c>
      <x:c r="M15" s="37" t="n">
        <x:v>0</x:v>
      </x:c>
      <x:c r="N15" s="37" t="str">
        <x:v>contextual_reappraisal</x:v>
      </x:c>
      <x:c r="O15" s="37" t="n">
        <x:v>3</x:v>
      </x:c>
      <x:c r="P15" s="37" t="str">
        <x:v>상황을 고려한 재해석</x:v>
      </x:c>
      <x:c r="Q15" s="37" t="n">
        <x:v>0</x:v>
      </x:c>
      <x:c r="R15" s="37" t="n">
        <x:v>0</x:v>
      </x:c>
      <x:c r="S15" s="37" t="n">
        <x:v>0</x:v>
      </x:c>
      <x:c r="T15" s="37" t="n">
        <x:v>0</x:v>
      </x:c>
      <x:c r="U15" s="37" t="n">
        <x:v>0</x:v>
      </x:c>
      <x:c r="V15" s="37" t="n">
        <x:v>0</x:v>
      </x:c>
      <x:c r="W15" s="23" t="n">
        <x:v>0</x:v>
      </x:c>
    </x:row>
    <x:row r="16">
      <x:c r="A16" s="22" t="str">
        <x:v>S03|5</x:v>
      </x:c>
      <x:c r="B16" s="37" t="str">
        <x:v>S03</x:v>
      </x:c>
      <x:c r="C16" s="41" t="str">
        <x:v>사람들 앞에서 나를 자랑하는 모습</x:v>
      </x:c>
      <x:c r="D16" s="41" t="str">
        <x:v>상대가 사람들 앞에서 나를 자랑하거나 좋은 점을 이야기하지 않는다면 나는 어떤 생각이 가장 먼저 들까요?</x:v>
      </x:c>
      <x:c r="E16" s="41" t="n">
        <x:v>5</x:v>
      </x:c>
      <x:c r="F16" s="41" t="str">
        <x:v>공개적인 칭찬보다 둘 사이에서 나를 존중하는지가 더 중요하다고 생각한다.</x:v>
      </x:c>
      <x:c r="G16" s="37" t="str"/>
      <x:c r="H16" s="37" t="str"/>
      <x:c r="I16" s="45" t="str">
        <x:v>유연한 재해석</x:v>
      </x:c>
      <x:c r="J16" s="45" t="str"/>
      <x:c r="K16" s="37" t="n">
        <x:v>0</x:v>
      </x:c>
      <x:c r="L16" s="37" t="n">
        <x:v>0</x:v>
      </x:c>
      <x:c r="M16" s="37" t="n">
        <x:v>0</x:v>
      </x:c>
      <x:c r="N16" s="37" t="str">
        <x:v>secure_reappraisal</x:v>
      </x:c>
      <x:c r="O16" s="37" t="n">
        <x:v>4</x:v>
      </x:c>
      <x:c r="P16" s="37" t="str">
        <x:v>유연한 재해석</x:v>
      </x:c>
      <x:c r="Q16" s="37" t="n">
        <x:v>0</x:v>
      </x:c>
      <x:c r="R16" s="37" t="n">
        <x:v>0</x:v>
      </x:c>
      <x:c r="S16" s="37" t="n">
        <x:v>0</x:v>
      </x:c>
      <x:c r="T16" s="37" t="n">
        <x:v>0</x:v>
      </x:c>
      <x:c r="U16" s="37" t="n">
        <x:v>0</x:v>
      </x:c>
      <x:c r="V16" s="37" t="n">
        <x:v>0</x:v>
      </x:c>
      <x:c r="W16" s="23" t="n">
        <x:v>0</x:v>
      </x:c>
    </x:row>
    <x:row r="17">
      <x:c r="A17" s="22" t="str">
        <x:v>S04|1</x:v>
      </x:c>
      <x:c r="B17" s="37" t="str">
        <x:v>S04</x:v>
      </x:c>
      <x:c r="C17" s="41" t="str">
        <x:v>싸운 뒤 먼저 화해를 시도하는 모습</x:v>
      </x:c>
      <x:c r="D17" s="41" t="str">
        <x:v>싸운 뒤 상대가 먼저 화해를 시도하지 않는다면 나는 어떤 생각이 가장 먼저 들까요?</x:v>
      </x:c>
      <x:c r="E17" s="41" t="n">
        <x:v>1</x:v>
      </x:c>
      <x:c r="F17" s="41" t="str">
        <x:v>관계를 회복하는 일이 나만큼 중요하지 않은가 보다.</x:v>
      </x:c>
      <x:c r="G17" s="37" t="str">
        <x:v>specialness</x:v>
      </x:c>
      <x:c r="H17" s="37" t="str">
        <x:v>intimacy</x:v>
      </x:c>
      <x:c r="I17" s="45" t="str">
        <x:v>특별함</x:v>
      </x:c>
      <x:c r="J17" s="45" t="str">
        <x:v>소속감</x:v>
      </x:c>
      <x:c r="K17" s="37" t="n">
        <x:v>4</x:v>
      </x:c>
      <x:c r="L17" s="37" t="n">
        <x:v>1</x:v>
      </x:c>
      <x:c r="M17" s="37" t="n">
        <x:v>1</x:v>
      </x:c>
      <x:c r="N17" s="37" t="str">
        <x:v>low_priority</x:v>
      </x:c>
      <x:c r="O17" s="37" t="n">
        <x:v>0</x:v>
      </x:c>
      <x:c r="P17" s="37" t="str">
        <x:v>욕구 위협 반응</x:v>
      </x:c>
      <x:c r="Q17" s="37" t="n">
        <x:v>0</x:v>
      </x:c>
      <x:c r="R17" s="37" t="n">
        <x:v>1</x:v>
      </x:c>
      <x:c r="S17" s="37" t="n">
        <x:v>4</x:v>
      </x:c>
      <x:c r="T17" s="37" t="n">
        <x:v>0</x:v>
      </x:c>
      <x:c r="U17" s="37" t="n">
        <x:v>0</x:v>
      </x:c>
      <x:c r="V17" s="37" t="n">
        <x:v>0</x:v>
      </x:c>
      <x:c r="W17" s="23" t="n">
        <x:v>0</x:v>
      </x:c>
    </x:row>
    <x:row r="18">
      <x:c r="A18" s="22" t="str">
        <x:v>S04|2</x:v>
      </x:c>
      <x:c r="B18" s="37" t="str">
        <x:v>S04</x:v>
      </x:c>
      <x:c r="C18" s="41" t="str">
        <x:v>싸운 뒤 먼저 화해를 시도하는 모습</x:v>
      </x:c>
      <x:c r="D18" s="41" t="str">
        <x:v>싸운 뒤 상대가 먼저 화해를 시도하지 않는다면 나는 어떤 생각이 가장 먼저 들까요?</x:v>
      </x:c>
      <x:c r="E18" s="41" t="n">
        <x:v>2</x:v>
      </x:c>
      <x:c r="F18" s="41" t="str">
        <x:v>상대는 나를 잃어도 괜찮다고 생각하는 것 같다.</x:v>
      </x:c>
      <x:c r="G18" s="37" t="str">
        <x:v>safety</x:v>
      </x:c>
      <x:c r="H18" s="37" t="str">
        <x:v>specialness</x:v>
      </x:c>
      <x:c r="I18" s="45" t="str">
        <x:v>안전성</x:v>
      </x:c>
      <x:c r="J18" s="45" t="str">
        <x:v>특별함</x:v>
      </x:c>
      <x:c r="K18" s="37" t="n">
        <x:v>4</x:v>
      </x:c>
      <x:c r="L18" s="37" t="n">
        <x:v>1</x:v>
      </x:c>
      <x:c r="M18" s="37" t="n">
        <x:v>1</x:v>
      </x:c>
      <x:c r="N18" s="37" t="str">
        <x:v>abandonment</x:v>
      </x:c>
      <x:c r="O18" s="37" t="n">
        <x:v>0</x:v>
      </x:c>
      <x:c r="P18" s="37" t="str">
        <x:v>욕구 위협 반응</x:v>
      </x:c>
      <x:c r="Q18" s="37" t="n">
        <x:v>4</x:v>
      </x:c>
      <x:c r="R18" s="37" t="n">
        <x:v>0</x:v>
      </x:c>
      <x:c r="S18" s="37" t="n">
        <x:v>1</x:v>
      </x:c>
      <x:c r="T18" s="37" t="n">
        <x:v>0</x:v>
      </x:c>
      <x:c r="U18" s="37" t="n">
        <x:v>0</x:v>
      </x:c>
      <x:c r="V18" s="37" t="n">
        <x:v>0</x:v>
      </x:c>
      <x:c r="W18" s="23" t="n">
        <x:v>0</x:v>
      </x:c>
    </x:row>
    <x:row r="19">
      <x:c r="A19" s="22" t="str">
        <x:v>S04|3</x:v>
      </x:c>
      <x:c r="B19" s="37" t="str">
        <x:v>S04</x:v>
      </x:c>
      <x:c r="C19" s="41" t="str">
        <x:v>싸운 뒤 먼저 화해를 시도하는 모습</x:v>
      </x:c>
      <x:c r="D19" s="41" t="str">
        <x:v>싸운 뒤 상대가 먼저 화해를 시도하지 않는다면 나는 어떤 생각이 가장 먼저 들까요?</x:v>
      </x:c>
      <x:c r="E19" s="41" t="n">
        <x:v>3</x:v>
      </x:c>
      <x:c r="F19" s="41" t="str">
        <x:v>내가 먼저 다가가면 내가 더 약한 사람이 되는 것 같다.</x:v>
      </x:c>
      <x:c r="G19" s="37" t="str">
        <x:v>recognition</x:v>
      </x:c>
      <x:c r="H19" s="37" t="str">
        <x:v>autonomy</x:v>
      </x:c>
      <x:c r="I19" s="45" t="str">
        <x:v>독립심</x:v>
      </x:c>
      <x:c r="J19" s="45" t="str"/>
      <x:c r="K19" s="37" t="n">
        <x:v>4</x:v>
      </x:c>
      <x:c r="L19" s="37" t="n">
        <x:v>0</x:v>
      </x:c>
      <x:c r="M19" s="37" t="n">
        <x:v>1</x:v>
      </x:c>
      <x:c r="N19" s="37" t="str">
        <x:v>status_threat</x:v>
      </x:c>
      <x:c r="O19" s="37" t="n">
        <x:v>0</x:v>
      </x:c>
      <x:c r="P19" s="37" t="str">
        <x:v>욕구 위협 반응</x:v>
      </x:c>
      <x:c r="Q19" s="37" t="n">
        <x:v>0</x:v>
      </x:c>
      <x:c r="R19" s="37" t="n">
        <x:v>0</x:v>
      </x:c>
      <x:c r="S19" s="37" t="n">
        <x:v>0</x:v>
      </x:c>
      <x:c r="T19" s="37" t="n">
        <x:v>0</x:v>
      </x:c>
      <x:c r="U19" s="37" t="n">
        <x:v>4</x:v>
      </x:c>
      <x:c r="V19" s="37" t="n">
        <x:v>0</x:v>
      </x:c>
      <x:c r="W19" s="23" t="n">
        <x:v>0</x:v>
      </x:c>
    </x:row>
    <x:row r="20">
      <x:c r="A20" s="22" t="str">
        <x:v>S04|4</x:v>
      </x:c>
      <x:c r="B20" s="37" t="str">
        <x:v>S04</x:v>
      </x:c>
      <x:c r="C20" s="41" t="str">
        <x:v>싸운 뒤 먼저 화해를 시도하는 모습</x:v>
      </x:c>
      <x:c r="D20" s="41" t="str">
        <x:v>싸운 뒤 상대가 먼저 화해를 시도하지 않는다면 나는 어떤 생각이 가장 먼저 들까요?</x:v>
      </x:c>
      <x:c r="E20" s="41" t="n">
        <x:v>4</x:v>
      </x:c>
      <x:c r="F20" s="41" t="str">
        <x:v>서로 감정을 가라앉힐 시간이 필요할 수도 있다고 생각한다.</x:v>
      </x:c>
      <x:c r="G20" s="37" t="str"/>
      <x:c r="H20" s="37" t="str"/>
      <x:c r="I20" s="45" t="str">
        <x:v>유연한 재해석</x:v>
      </x:c>
      <x:c r="J20" s="45" t="str"/>
      <x:c r="K20" s="37" t="n">
        <x:v>0</x:v>
      </x:c>
      <x:c r="L20" s="37" t="n">
        <x:v>0</x:v>
      </x:c>
      <x:c r="M20" s="37" t="n">
        <x:v>0</x:v>
      </x:c>
      <x:c r="N20" s="37" t="str">
        <x:v>contextual_reappraisal</x:v>
      </x:c>
      <x:c r="O20" s="37" t="n">
        <x:v>3</x:v>
      </x:c>
      <x:c r="P20" s="37" t="str">
        <x:v>상황을 고려한 재해석</x:v>
      </x:c>
      <x:c r="Q20" s="37" t="n">
        <x:v>0</x:v>
      </x:c>
      <x:c r="R20" s="37" t="n">
        <x:v>0</x:v>
      </x:c>
      <x:c r="S20" s="37" t="n">
        <x:v>0</x:v>
      </x:c>
      <x:c r="T20" s="37" t="n">
        <x:v>0</x:v>
      </x:c>
      <x:c r="U20" s="37" t="n">
        <x:v>0</x:v>
      </x:c>
      <x:c r="V20" s="37" t="n">
        <x:v>0</x:v>
      </x:c>
      <x:c r="W20" s="23" t="n">
        <x:v>0</x:v>
      </x:c>
    </x:row>
    <x:row r="21">
      <x:c r="A21" s="22" t="str">
        <x:v>S04|5</x:v>
      </x:c>
      <x:c r="B21" s="37" t="str">
        <x:v>S04</x:v>
      </x:c>
      <x:c r="C21" s="41" t="str">
        <x:v>싸운 뒤 먼저 화해를 시도하는 모습</x:v>
      </x:c>
      <x:c r="D21" s="41" t="str">
        <x:v>싸운 뒤 상대가 먼저 화해를 시도하지 않는다면 나는 어떤 생각이 가장 먼저 들까요?</x:v>
      </x:c>
      <x:c r="E21" s="41" t="n">
        <x:v>5</x:v>
      </x:c>
      <x:c r="F21" s="41" t="str">
        <x:v>누가 먼저 연락하는지보다 갈등을 어떻게 해결하는지가 중요하다고 생각한다.</x:v>
      </x:c>
      <x:c r="G21" s="37" t="str"/>
      <x:c r="H21" s="37" t="str"/>
      <x:c r="I21" s="45" t="str">
        <x:v>유연한 재해석</x:v>
      </x:c>
      <x:c r="J21" s="45" t="str"/>
      <x:c r="K21" s="37" t="n">
        <x:v>0</x:v>
      </x:c>
      <x:c r="L21" s="37" t="n">
        <x:v>0</x:v>
      </x:c>
      <x:c r="M21" s="37" t="n">
        <x:v>0</x:v>
      </x:c>
      <x:c r="N21" s="37" t="str">
        <x:v>secure_reappraisal</x:v>
      </x:c>
      <x:c r="O21" s="37" t="n">
        <x:v>4</x:v>
      </x:c>
      <x:c r="P21" s="37" t="str">
        <x:v>유연한 재해석</x:v>
      </x:c>
      <x:c r="Q21" s="37" t="n">
        <x:v>0</x:v>
      </x:c>
      <x:c r="R21" s="37" t="n">
        <x:v>0</x:v>
      </x:c>
      <x:c r="S21" s="37" t="n">
        <x:v>0</x:v>
      </x:c>
      <x:c r="T21" s="37" t="n">
        <x:v>0</x:v>
      </x:c>
      <x:c r="U21" s="37" t="n">
        <x:v>0</x:v>
      </x:c>
      <x:c r="V21" s="37" t="n">
        <x:v>0</x:v>
      </x:c>
      <x:c r="W21" s="23" t="n">
        <x:v>0</x:v>
      </x:c>
    </x:row>
    <x:row r="22">
      <x:c r="A22" s="22" t="str">
        <x:v>S05|1</x:v>
      </x:c>
      <x:c r="B22" s="37" t="str">
        <x:v>S05</x:v>
      </x:c>
      <x:c r="C22" s="41" t="str">
        <x:v>내 결정을 믿고 기다려주는 모습</x:v>
      </x:c>
      <x:c r="D22" s="41" t="str">
        <x:v>상대가 내 결정을 믿고 기다려주지 않고 계속 조언하거나 재촉한다면 나는 어떤 생각이 가장 먼저 들까요?</x:v>
      </x:c>
      <x:c r="E22" s="41" t="n">
        <x:v>1</x:v>
      </x:c>
      <x:c r="F22" s="41" t="str">
        <x:v>상대는 내가 현명한 결정을 내릴 수 없다고 생각하는 것 같다.</x:v>
      </x:c>
      <x:c r="G22" s="37" t="str">
        <x:v>competence</x:v>
      </x:c>
      <x:c r="H22" s="37" t="str">
        <x:v>recognition</x:v>
      </x:c>
      <x:c r="I22" s="45" t="str">
        <x:v>유능함</x:v>
      </x:c>
      <x:c r="J22" s="45" t="str"/>
      <x:c r="K22" s="37" t="n">
        <x:v>4</x:v>
      </x:c>
      <x:c r="L22" s="37" t="n">
        <x:v>0</x:v>
      </x:c>
      <x:c r="M22" s="37" t="n">
        <x:v>1</x:v>
      </x:c>
      <x:c r="N22" s="37" t="str">
        <x:v>competence_threat</x:v>
      </x:c>
      <x:c r="O22" s="37" t="n">
        <x:v>0</x:v>
      </x:c>
      <x:c r="P22" s="37" t="str">
        <x:v>욕구 위협 반응</x:v>
      </x:c>
      <x:c r="Q22" s="37" t="n">
        <x:v>0</x:v>
      </x:c>
      <x:c r="R22" s="37" t="n">
        <x:v>0</x:v>
      </x:c>
      <x:c r="S22" s="37" t="n">
        <x:v>0</x:v>
      </x:c>
      <x:c r="T22" s="37" t="n">
        <x:v>0</x:v>
      </x:c>
      <x:c r="U22" s="37" t="n">
        <x:v>0</x:v>
      </x:c>
      <x:c r="V22" s="37" t="n">
        <x:v>4</x:v>
      </x:c>
      <x:c r="W22" s="23" t="n">
        <x:v>0</x:v>
      </x:c>
    </x:row>
    <x:row r="23">
      <x:c r="A23" s="22" t="str">
        <x:v>S05|2</x:v>
      </x:c>
      <x:c r="B23" s="37" t="str">
        <x:v>S05</x:v>
      </x:c>
      <x:c r="C23" s="41" t="str">
        <x:v>내 결정을 믿고 기다려주는 모습</x:v>
      </x:c>
      <x:c r="D23" s="41" t="str">
        <x:v>상대가 내 결정을 믿고 기다려주지 않고 계속 조언하거나 재촉한다면 나는 어떤 생각이 가장 먼저 들까요?</x:v>
      </x:c>
      <x:c r="E23" s="41" t="n">
        <x:v>2</x:v>
      </x:c>
      <x:c r="F23" s="41" t="str">
        <x:v>내 선택보다 자신의 뜻을 따르게 하려는 것 같다.</x:v>
      </x:c>
      <x:c r="G23" s="37" t="str">
        <x:v>autonomy</x:v>
      </x:c>
      <x:c r="H23" s="37" t="str">
        <x:v>safety</x:v>
      </x:c>
      <x:c r="I23" s="45" t="str">
        <x:v>독립심</x:v>
      </x:c>
      <x:c r="J23" s="45" t="str">
        <x:v>안전성</x:v>
      </x:c>
      <x:c r="K23" s="37" t="n">
        <x:v>4</x:v>
      </x:c>
      <x:c r="L23" s="37" t="n">
        <x:v>1</x:v>
      </x:c>
      <x:c r="M23" s="37" t="n">
        <x:v>1</x:v>
      </x:c>
      <x:c r="N23" s="37" t="str">
        <x:v>control_threat</x:v>
      </x:c>
      <x:c r="O23" s="37" t="n">
        <x:v>0</x:v>
      </x:c>
      <x:c r="P23" s="37" t="str">
        <x:v>욕구 위협 반응</x:v>
      </x:c>
      <x:c r="Q23" s="37" t="n">
        <x:v>1</x:v>
      </x:c>
      <x:c r="R23" s="37" t="n">
        <x:v>0</x:v>
      </x:c>
      <x:c r="S23" s="37" t="n">
        <x:v>0</x:v>
      </x:c>
      <x:c r="T23" s="37" t="n">
        <x:v>0</x:v>
      </x:c>
      <x:c r="U23" s="37" t="n">
        <x:v>4</x:v>
      </x:c>
      <x:c r="V23" s="37" t="n">
        <x:v>0</x:v>
      </x:c>
      <x:c r="W23" s="23" t="n">
        <x:v>0</x:v>
      </x:c>
    </x:row>
    <x:row r="24">
      <x:c r="A24" s="22" t="str">
        <x:v>S05|3</x:v>
      </x:c>
      <x:c r="B24" s="37" t="str">
        <x:v>S05</x:v>
      </x:c>
      <x:c r="C24" s="41" t="str">
        <x:v>내 결정을 믿고 기다려주는 모습</x:v>
      </x:c>
      <x:c r="D24" s="41" t="str">
        <x:v>상대가 내 결정을 믿고 기다려주지 않고 계속 조언하거나 재촉한다면 나는 어떤 생각이 가장 먼저 들까요?</x:v>
      </x:c>
      <x:c r="E24" s="41" t="n">
        <x:v>3</x:v>
      </x:c>
      <x:c r="F24" s="41" t="str">
        <x:v>내가 잘못된 선택을 하면 사랑이나 지지를 잃을 것 같다.</x:v>
      </x:c>
      <x:c r="G24" s="37" t="str">
        <x:v>safety</x:v>
      </x:c>
      <x:c r="H24" s="37" t="str">
        <x:v>recognition</x:v>
      </x:c>
      <x:c r="I24" s="45" t="str">
        <x:v>안전성</x:v>
      </x:c>
      <x:c r="J24" s="45" t="str">
        <x:v>특별함</x:v>
      </x:c>
      <x:c r="K24" s="37" t="n">
        <x:v>4</x:v>
      </x:c>
      <x:c r="L24" s="37" t="n">
        <x:v>1</x:v>
      </x:c>
      <x:c r="M24" s="37" t="n">
        <x:v>1</x:v>
      </x:c>
      <x:c r="N24" s="37" t="str">
        <x:v>conditional_acceptance</x:v>
      </x:c>
      <x:c r="O24" s="37" t="n">
        <x:v>0</x:v>
      </x:c>
      <x:c r="P24" s="37" t="str">
        <x:v>욕구 위협 반응</x:v>
      </x:c>
      <x:c r="Q24" s="37" t="n">
        <x:v>4</x:v>
      </x:c>
      <x:c r="R24" s="37" t="n">
        <x:v>0</x:v>
      </x:c>
      <x:c r="S24" s="37" t="n">
        <x:v>1</x:v>
      </x:c>
      <x:c r="T24" s="37" t="n">
        <x:v>0</x:v>
      </x:c>
      <x:c r="U24" s="37" t="n">
        <x:v>0</x:v>
      </x:c>
      <x:c r="V24" s="37" t="n">
        <x:v>0</x:v>
      </x:c>
      <x:c r="W24" s="23" t="n">
        <x:v>0</x:v>
      </x:c>
    </x:row>
    <x:row r="25">
      <x:c r="A25" s="22" t="str">
        <x:v>S05|4</x:v>
      </x:c>
      <x:c r="B25" s="37" t="str">
        <x:v>S05</x:v>
      </x:c>
      <x:c r="C25" s="41" t="str">
        <x:v>내 결정을 믿고 기다려주는 모습</x:v>
      </x:c>
      <x:c r="D25" s="41" t="str">
        <x:v>상대가 내 결정을 믿고 기다려주지 않고 계속 조언하거나 재촉한다면 나는 어떤 생각이 가장 먼저 들까요?</x:v>
      </x:c>
      <x:c r="E25" s="41" t="n">
        <x:v>4</x:v>
      </x:c>
      <x:c r="F25" s="41" t="str">
        <x:v>상대도 불안해서 의견을 많이 말하는 것일 수 있다고 생각한다.</x:v>
      </x:c>
      <x:c r="G25" s="37" t="str"/>
      <x:c r="H25" s="37" t="str"/>
      <x:c r="I25" s="45" t="str">
        <x:v>유연한 재해석</x:v>
      </x:c>
      <x:c r="J25" s="45" t="str"/>
      <x:c r="K25" s="37" t="n">
        <x:v>0</x:v>
      </x:c>
      <x:c r="L25" s="37" t="n">
        <x:v>0</x:v>
      </x:c>
      <x:c r="M25" s="37" t="n">
        <x:v>0</x:v>
      </x:c>
      <x:c r="N25" s="37" t="str">
        <x:v>contextual_reappraisal</x:v>
      </x:c>
      <x:c r="O25" s="37" t="n">
        <x:v>3</x:v>
      </x:c>
      <x:c r="P25" s="37" t="str">
        <x:v>상황을 고려한 재해석</x:v>
      </x:c>
      <x:c r="Q25" s="37" t="n">
        <x:v>0</x:v>
      </x:c>
      <x:c r="R25" s="37" t="n">
        <x:v>0</x:v>
      </x:c>
      <x:c r="S25" s="37" t="n">
        <x:v>0</x:v>
      </x:c>
      <x:c r="T25" s="37" t="n">
        <x:v>0</x:v>
      </x:c>
      <x:c r="U25" s="37" t="n">
        <x:v>0</x:v>
      </x:c>
      <x:c r="V25" s="37" t="n">
        <x:v>0</x:v>
      </x:c>
      <x:c r="W25" s="23" t="n">
        <x:v>0</x:v>
      </x:c>
    </x:row>
    <x:row r="26">
      <x:c r="A26" s="22" t="str">
        <x:v>S05|5</x:v>
      </x:c>
      <x:c r="B26" s="37" t="str">
        <x:v>S05</x:v>
      </x:c>
      <x:c r="C26" s="41" t="str">
        <x:v>내 결정을 믿고 기다려주는 모습</x:v>
      </x:c>
      <x:c r="D26" s="41" t="str">
        <x:v>상대가 내 결정을 믿고 기다려주지 않고 계속 조언하거나 재촉한다면 나는 어떤 생각이 가장 먼저 들까요?</x:v>
      </x:c>
      <x:c r="E26" s="41" t="n">
        <x:v>5</x:v>
      </x:c>
      <x:c r="F26" s="41" t="str">
        <x:v>조언을 듣는 것과 최종 결정을 내가 내리는 것은 별개의 문제라고 생각한다.</x:v>
      </x:c>
      <x:c r="G26" s="37" t="str"/>
      <x:c r="H26" s="37" t="str"/>
      <x:c r="I26" s="45" t="str">
        <x:v>유연한 재해석</x:v>
      </x:c>
      <x:c r="J26" s="45" t="str"/>
      <x:c r="K26" s="37" t="n">
        <x:v>0</x:v>
      </x:c>
      <x:c r="L26" s="37" t="n">
        <x:v>0</x:v>
      </x:c>
      <x:c r="M26" s="37" t="n">
        <x:v>0</x:v>
      </x:c>
      <x:c r="N26" s="37" t="str">
        <x:v>secure_reappraisal</x:v>
      </x:c>
      <x:c r="O26" s="37" t="n">
        <x:v>4</x:v>
      </x:c>
      <x:c r="P26" s="37" t="str">
        <x:v>유연한 재해석</x:v>
      </x:c>
      <x:c r="Q26" s="37" t="n">
        <x:v>0</x:v>
      </x:c>
      <x:c r="R26" s="37" t="n">
        <x:v>0</x:v>
      </x:c>
      <x:c r="S26" s="37" t="n">
        <x:v>0</x:v>
      </x:c>
      <x:c r="T26" s="37" t="n">
        <x:v>0</x:v>
      </x:c>
      <x:c r="U26" s="37" t="n">
        <x:v>0</x:v>
      </x:c>
      <x:c r="V26" s="37" t="n">
        <x:v>0</x:v>
      </x:c>
      <x:c r="W26" s="23" t="n">
        <x:v>0</x:v>
      </x:c>
    </x:row>
    <x:row r="27">
      <x:c r="A27" s="22" t="str">
        <x:v>S06|1</x:v>
      </x:c>
      <x:c r="B27" s="37" t="str">
        <x:v>S06</x:v>
      </x:c>
      <x:c r="C27" s="41" t="str">
        <x:v>중요한 선택을 나와 상의하는 모습</x:v>
      </x:c>
      <x:c r="D27" s="41" t="str">
        <x:v>상대가 중요한 선택을 나와 상의하지 않고 혼자 결정한다면 나는 어떤 생각이 가장 먼저 들까요?</x:v>
      </x:c>
      <x:c r="E27" s="41" t="n">
        <x:v>1</x:v>
      </x:c>
      <x:c r="F27" s="41" t="str">
        <x:v>나는 상대의 미래에 포함된 사람이 아닌가 보다.</x:v>
      </x:c>
      <x:c r="G27" s="37" t="str">
        <x:v>safety</x:v>
      </x:c>
      <x:c r="H27" s="37" t="str">
        <x:v>specialness</x:v>
      </x:c>
      <x:c r="I27" s="45" t="str">
        <x:v>안전성</x:v>
      </x:c>
      <x:c r="J27" s="45" t="str">
        <x:v>특별함</x:v>
      </x:c>
      <x:c r="K27" s="37" t="n">
        <x:v>4</x:v>
      </x:c>
      <x:c r="L27" s="37" t="n">
        <x:v>1</x:v>
      </x:c>
      <x:c r="M27" s="37" t="n">
        <x:v>1</x:v>
      </x:c>
      <x:c r="N27" s="37" t="str">
        <x:v>relationship_exclusion</x:v>
      </x:c>
      <x:c r="O27" s="37" t="n">
        <x:v>0</x:v>
      </x:c>
      <x:c r="P27" s="37" t="str">
        <x:v>욕구 위협 반응</x:v>
      </x:c>
      <x:c r="Q27" s="37" t="n">
        <x:v>4</x:v>
      </x:c>
      <x:c r="R27" s="37" t="n">
        <x:v>0</x:v>
      </x:c>
      <x:c r="S27" s="37" t="n">
        <x:v>1</x:v>
      </x:c>
      <x:c r="T27" s="37" t="n">
        <x:v>0</x:v>
      </x:c>
      <x:c r="U27" s="37" t="n">
        <x:v>0</x:v>
      </x:c>
      <x:c r="V27" s="37" t="n">
        <x:v>0</x:v>
      </x:c>
      <x:c r="W27" s="23" t="n">
        <x:v>0</x:v>
      </x:c>
    </x:row>
    <x:row r="28">
      <x:c r="A28" s="22" t="str">
        <x:v>S06|2</x:v>
      </x:c>
      <x:c r="B28" s="37" t="str">
        <x:v>S06</x:v>
      </x:c>
      <x:c r="C28" s="41" t="str">
        <x:v>중요한 선택을 나와 상의하는 모습</x:v>
      </x:c>
      <x:c r="D28" s="41" t="str">
        <x:v>상대가 중요한 선택을 나와 상의하지 않고 혼자 결정한다면 나는 어떤 생각이 가장 먼저 들까요?</x:v>
      </x:c>
      <x:c r="E28" s="41" t="n">
        <x:v>2</x:v>
      </x:c>
      <x:c r="F28" s="41" t="str">
        <x:v>내 의견은 상대에게 별로 중요하지 않은 것 같다.</x:v>
      </x:c>
      <x:c r="G28" s="37" t="str">
        <x:v>recognition</x:v>
      </x:c>
      <x:c r="H28" s="37" t="str">
        <x:v>competence</x:v>
      </x:c>
      <x:c r="I28" s="45" t="str">
        <x:v>유능함</x:v>
      </x:c>
      <x:c r="J28" s="45" t="str"/>
      <x:c r="K28" s="37" t="n">
        <x:v>4</x:v>
      </x:c>
      <x:c r="L28" s="37" t="n">
        <x:v>0</x:v>
      </x:c>
      <x:c r="M28" s="37" t="n">
        <x:v>1</x:v>
      </x:c>
      <x:c r="N28" s="37" t="str">
        <x:v>lack_of_validation</x:v>
      </x:c>
      <x:c r="O28" s="37" t="n">
        <x:v>0</x:v>
      </x:c>
      <x:c r="P28" s="37" t="str">
        <x:v>욕구 위협 반응</x:v>
      </x:c>
      <x:c r="Q28" s="37" t="n">
        <x:v>0</x:v>
      </x:c>
      <x:c r="R28" s="37" t="n">
        <x:v>0</x:v>
      </x:c>
      <x:c r="S28" s="37" t="n">
        <x:v>0</x:v>
      </x:c>
      <x:c r="T28" s="37" t="n">
        <x:v>0</x:v>
      </x:c>
      <x:c r="U28" s="37" t="n">
        <x:v>0</x:v>
      </x:c>
      <x:c r="V28" s="37" t="n">
        <x:v>4</x:v>
      </x:c>
      <x:c r="W28" s="23" t="n">
        <x:v>0</x:v>
      </x:c>
    </x:row>
    <x:row r="29">
      <x:c r="A29" s="22" t="str">
        <x:v>S06|3</x:v>
      </x:c>
      <x:c r="B29" s="37" t="str">
        <x:v>S06</x:v>
      </x:c>
      <x:c r="C29" s="41" t="str">
        <x:v>중요한 선택을 나와 상의하는 모습</x:v>
      </x:c>
      <x:c r="D29" s="41" t="str">
        <x:v>상대가 중요한 선택을 나와 상의하지 않고 혼자 결정한다면 나는 어떤 생각이 가장 먼저 들까요?</x:v>
      </x:c>
      <x:c r="E29" s="41" t="n">
        <x:v>3</x:v>
      </x:c>
      <x:c r="F29" s="41" t="str">
        <x:v>상대가 나를 믿거나 의지하지 않는 것 같다.</x:v>
      </x:c>
      <x:c r="G29" s="37" t="str">
        <x:v>intimacy</x:v>
      </x:c>
      <x:c r="H29" s="37" t="str">
        <x:v>competence</x:v>
      </x:c>
      <x:c r="I29" s="45" t="str">
        <x:v>소속감</x:v>
      </x:c>
      <x:c r="J29" s="45" t="str">
        <x:v>유능함</x:v>
      </x:c>
      <x:c r="K29" s="37" t="n">
        <x:v>4</x:v>
      </x:c>
      <x:c r="L29" s="37" t="n">
        <x:v>1</x:v>
      </x:c>
      <x:c r="M29" s="37" t="n">
        <x:v>1</x:v>
      </x:c>
      <x:c r="N29" s="37" t="str">
        <x:v>lack_of_trust</x:v>
      </x:c>
      <x:c r="O29" s="37" t="n">
        <x:v>0</x:v>
      </x:c>
      <x:c r="P29" s="37" t="str">
        <x:v>욕구 위협 반응</x:v>
      </x:c>
      <x:c r="Q29" s="37" t="n">
        <x:v>0</x:v>
      </x:c>
      <x:c r="R29" s="37" t="n">
        <x:v>4</x:v>
      </x:c>
      <x:c r="S29" s="37" t="n">
        <x:v>0</x:v>
      </x:c>
      <x:c r="T29" s="37" t="n">
        <x:v>0</x:v>
      </x:c>
      <x:c r="U29" s="37" t="n">
        <x:v>0</x:v>
      </x:c>
      <x:c r="V29" s="37" t="n">
        <x:v>1</x:v>
      </x:c>
      <x:c r="W29" s="23" t="n">
        <x:v>0</x:v>
      </x:c>
    </x:row>
    <x:row r="30">
      <x:c r="A30" s="22" t="str">
        <x:v>S06|4</x:v>
      </x:c>
      <x:c r="B30" s="37" t="str">
        <x:v>S06</x:v>
      </x:c>
      <x:c r="C30" s="41" t="str">
        <x:v>중요한 선택을 나와 상의하는 모습</x:v>
      </x:c>
      <x:c r="D30" s="41" t="str">
        <x:v>상대가 중요한 선택을 나와 상의하지 않고 혼자 결정한다면 나는 어떤 생각이 가장 먼저 들까요?</x:v>
      </x:c>
      <x:c r="E30" s="41" t="n">
        <x:v>4</x:v>
      </x:c>
      <x:c r="F30" s="41" t="str">
        <x:v>자신의 삶에 관한 최종 결정은 스스로 내릴 수 있다고 생각한다.</x:v>
      </x:c>
      <x:c r="G30" s="37" t="str"/>
      <x:c r="H30" s="37" t="str"/>
      <x:c r="I30" s="45" t="str">
        <x:v>유연한 재해석</x:v>
      </x:c>
      <x:c r="J30" s="45" t="str"/>
      <x:c r="K30" s="37" t="n">
        <x:v>0</x:v>
      </x:c>
      <x:c r="L30" s="37" t="n">
        <x:v>0</x:v>
      </x:c>
      <x:c r="M30" s="37" t="n">
        <x:v>0</x:v>
      </x:c>
      <x:c r="N30" s="37" t="str">
        <x:v>contextual_reappraisal</x:v>
      </x:c>
      <x:c r="O30" s="37" t="n">
        <x:v>3</x:v>
      </x:c>
      <x:c r="P30" s="37" t="str">
        <x:v>상황을 고려한 재해석</x:v>
      </x:c>
      <x:c r="Q30" s="37" t="n">
        <x:v>0</x:v>
      </x:c>
      <x:c r="R30" s="37" t="n">
        <x:v>0</x:v>
      </x:c>
      <x:c r="S30" s="37" t="n">
        <x:v>0</x:v>
      </x:c>
      <x:c r="T30" s="37" t="n">
        <x:v>0</x:v>
      </x:c>
      <x:c r="U30" s="37" t="n">
        <x:v>0</x:v>
      </x:c>
      <x:c r="V30" s="37" t="n">
        <x:v>0</x:v>
      </x:c>
      <x:c r="W30" s="23" t="n">
        <x:v>0</x:v>
      </x:c>
    </x:row>
    <x:row r="31">
      <x:c r="A31" s="22" t="str">
        <x:v>S06|5</x:v>
      </x:c>
      <x:c r="B31" s="37" t="str">
        <x:v>S06</x:v>
      </x:c>
      <x:c r="C31" s="41" t="str">
        <x:v>중요한 선택을 나와 상의하는 모습</x:v>
      </x:c>
      <x:c r="D31" s="41" t="str">
        <x:v>상대가 중요한 선택을 나와 상의하지 않고 혼자 결정한다면 나는 어떤 생각이 가장 먼저 들까요?</x:v>
      </x:c>
      <x:c r="E31" s="41" t="n">
        <x:v>5</x:v>
      </x:c>
      <x:c r="F31" s="41" t="str">
        <x:v>모든 일을 허락받을 필요는 없지만 관계에 영향을 주는 결정은 공유해야 한다고 생각한다.</x:v>
      </x:c>
      <x:c r="G31" s="37" t="str"/>
      <x:c r="H31" s="37" t="str"/>
      <x:c r="I31" s="45" t="str">
        <x:v>유연한 재해석</x:v>
      </x:c>
      <x:c r="J31" s="45" t="str"/>
      <x:c r="K31" s="37" t="n">
        <x:v>0</x:v>
      </x:c>
      <x:c r="L31" s="37" t="n">
        <x:v>0</x:v>
      </x:c>
      <x:c r="M31" s="37" t="n">
        <x:v>0</x:v>
      </x:c>
      <x:c r="N31" s="37" t="str">
        <x:v>secure_reappraisal</x:v>
      </x:c>
      <x:c r="O31" s="37" t="n">
        <x:v>4</x:v>
      </x:c>
      <x:c r="P31" s="37" t="str">
        <x:v>유연한 재해석</x:v>
      </x:c>
      <x:c r="Q31" s="37" t="n">
        <x:v>0</x:v>
      </x:c>
      <x:c r="R31" s="37" t="n">
        <x:v>0</x:v>
      </x:c>
      <x:c r="S31" s="37" t="n">
        <x:v>0</x:v>
      </x:c>
      <x:c r="T31" s="37" t="n">
        <x:v>0</x:v>
      </x:c>
      <x:c r="U31" s="37" t="n">
        <x:v>0</x:v>
      </x:c>
      <x:c r="V31" s="37" t="n">
        <x:v>0</x:v>
      </x:c>
      <x:c r="W31" s="23" t="n">
        <x:v>0</x:v>
      </x:c>
    </x:row>
    <x:row r="32">
      <x:c r="A32" s="22" t="str">
        <x:v>S07|1</x:v>
      </x:c>
      <x:c r="B32" s="37" t="str">
        <x:v>S07</x:v>
      </x:c>
      <x:c r="C32" s="41" t="str">
        <x:v>나에게만 약한 모습을 보이는 모습</x:v>
      </x:c>
      <x:c r="D32" s="41" t="str">
        <x:v>상대가 힘든 상황에서도 나에게 약한 모습을 전혀 보이지 않는다면 나는 어떤 생각이 가장 먼저 들까요?</x:v>
      </x:c>
      <x:c r="E32" s="41" t="n">
        <x:v>1</x:v>
      </x:c>
      <x:c r="F32" s="41" t="str">
        <x:v>상대가 나를 충분히 신뢰하지 않는 것 같다.</x:v>
      </x:c>
      <x:c r="G32" s="37" t="str">
        <x:v>intimacy</x:v>
      </x:c>
      <x:c r="H32" s="37" t="str">
        <x:v>safety</x:v>
      </x:c>
      <x:c r="I32" s="45" t="str">
        <x:v>소속감</x:v>
      </x:c>
      <x:c r="J32" s="45" t="str">
        <x:v>안전성</x:v>
      </x:c>
      <x:c r="K32" s="37" t="n">
        <x:v>4</x:v>
      </x:c>
      <x:c r="L32" s="37" t="n">
        <x:v>1</x:v>
      </x:c>
      <x:c r="M32" s="37" t="n">
        <x:v>1</x:v>
      </x:c>
      <x:c r="N32" s="37" t="str">
        <x:v>lack_of_trust</x:v>
      </x:c>
      <x:c r="O32" s="37" t="n">
        <x:v>0</x:v>
      </x:c>
      <x:c r="P32" s="37" t="str">
        <x:v>욕구 위협 반응</x:v>
      </x:c>
      <x:c r="Q32" s="37" t="n">
        <x:v>1</x:v>
      </x:c>
      <x:c r="R32" s="37" t="n">
        <x:v>4</x:v>
      </x:c>
      <x:c r="S32" s="37" t="n">
        <x:v>0</x:v>
      </x:c>
      <x:c r="T32" s="37" t="n">
        <x:v>0</x:v>
      </x:c>
      <x:c r="U32" s="37" t="n">
        <x:v>0</x:v>
      </x:c>
      <x:c r="V32" s="37" t="n">
        <x:v>0</x:v>
      </x:c>
      <x:c r="W32" s="23" t="n">
        <x:v>0</x:v>
      </x:c>
    </x:row>
    <x:row r="33">
      <x:c r="A33" s="22" t="str">
        <x:v>S07|2</x:v>
      </x:c>
      <x:c r="B33" s="37" t="str">
        <x:v>S07</x:v>
      </x:c>
      <x:c r="C33" s="41" t="str">
        <x:v>나에게만 약한 모습을 보이는 모습</x:v>
      </x:c>
      <x:c r="D33" s="41" t="str">
        <x:v>상대가 힘든 상황에서도 나에게 약한 모습을 전혀 보이지 않는다면 나는 어떤 생각이 가장 먼저 들까요?</x:v>
      </x:c>
      <x:c r="E33" s="41" t="n">
        <x:v>2</x:v>
      </x:c>
      <x:c r="F33" s="41" t="str">
        <x:v>나는 상대가 의지할 만큼 필요한 사람이 아닌가 보다.</x:v>
      </x:c>
      <x:c r="G33" s="37" t="str">
        <x:v>specialness</x:v>
      </x:c>
      <x:c r="H33" s="37" t="str">
        <x:v>competence</x:v>
      </x:c>
      <x:c r="I33" s="45" t="str">
        <x:v>특별함</x:v>
      </x:c>
      <x:c r="J33" s="45" t="str">
        <x:v>유능함</x:v>
      </x:c>
      <x:c r="K33" s="37" t="n">
        <x:v>4</x:v>
      </x:c>
      <x:c r="L33" s="37" t="n">
        <x:v>1</x:v>
      </x:c>
      <x:c r="M33" s="37" t="n">
        <x:v>1</x:v>
      </x:c>
      <x:c r="N33" s="37" t="str">
        <x:v>uselessness</x:v>
      </x:c>
      <x:c r="O33" s="37" t="n">
        <x:v>0</x:v>
      </x:c>
      <x:c r="P33" s="37" t="str">
        <x:v>욕구 위협 반응</x:v>
      </x:c>
      <x:c r="Q33" s="37" t="n">
        <x:v>0</x:v>
      </x:c>
      <x:c r="R33" s="37" t="n">
        <x:v>0</x:v>
      </x:c>
      <x:c r="S33" s="37" t="n">
        <x:v>4</x:v>
      </x:c>
      <x:c r="T33" s="37" t="n">
        <x:v>0</x:v>
      </x:c>
      <x:c r="U33" s="37" t="n">
        <x:v>0</x:v>
      </x:c>
      <x:c r="V33" s="37" t="n">
        <x:v>1</x:v>
      </x:c>
      <x:c r="W33" s="23" t="n">
        <x:v>0</x:v>
      </x:c>
    </x:row>
    <x:row r="34">
      <x:c r="A34" s="22" t="str">
        <x:v>S07|3</x:v>
      </x:c>
      <x:c r="B34" s="37" t="str">
        <x:v>S07</x:v>
      </x:c>
      <x:c r="C34" s="41" t="str">
        <x:v>나에게만 약한 모습을 보이는 모습</x:v>
      </x:c>
      <x:c r="D34" s="41" t="str">
        <x:v>상대가 힘든 상황에서도 나에게 약한 모습을 전혀 보이지 않는다면 나는 어떤 생각이 가장 먼저 들까요?</x:v>
      </x:c>
      <x:c r="E34" s="41" t="n">
        <x:v>3</x:v>
      </x:c>
      <x:c r="F34" s="41" t="str">
        <x:v>우리 관계에는 깊은 정서적 친밀감이 부족한 것 같다.</x:v>
      </x:c>
      <x:c r="G34" s="37" t="str">
        <x:v>intimacy</x:v>
      </x:c>
      <x:c r="H34" s="37" t="str">
        <x:v>care</x:v>
      </x:c>
      <x:c r="I34" s="45" t="str">
        <x:v>소속감</x:v>
      </x:c>
      <x:c r="J34" s="45" t="str">
        <x:v>보호자</x:v>
      </x:c>
      <x:c r="K34" s="37" t="n">
        <x:v>4</x:v>
      </x:c>
      <x:c r="L34" s="37" t="n">
        <x:v>1</x:v>
      </x:c>
      <x:c r="M34" s="37" t="n">
        <x:v>1</x:v>
      </x:c>
      <x:c r="N34" s="37" t="str">
        <x:v>emotional_distance</x:v>
      </x:c>
      <x:c r="O34" s="37" t="n">
        <x:v>0</x:v>
      </x:c>
      <x:c r="P34" s="37" t="str">
        <x:v>욕구 위협 반응</x:v>
      </x:c>
      <x:c r="Q34" s="37" t="n">
        <x:v>0</x:v>
      </x:c>
      <x:c r="R34" s="37" t="n">
        <x:v>4</x:v>
      </x:c>
      <x:c r="S34" s="37" t="n">
        <x:v>0</x:v>
      </x:c>
      <x:c r="T34" s="37" t="n">
        <x:v>1</x:v>
      </x:c>
      <x:c r="U34" s="37" t="n">
        <x:v>0</x:v>
      </x:c>
      <x:c r="V34" s="37" t="n">
        <x:v>0</x:v>
      </x:c>
      <x:c r="W34" s="23" t="n">
        <x:v>0</x:v>
      </x:c>
    </x:row>
    <x:row r="35">
      <x:c r="A35" s="22" t="str">
        <x:v>S07|4</x:v>
      </x:c>
      <x:c r="B35" s="37" t="str">
        <x:v>S07</x:v>
      </x:c>
      <x:c r="C35" s="41" t="str">
        <x:v>나에게만 약한 모습을 보이는 모습</x:v>
      </x:c>
      <x:c r="D35" s="41" t="str">
        <x:v>상대가 힘든 상황에서도 나에게 약한 모습을 전혀 보이지 않는다면 나는 어떤 생각이 가장 먼저 들까요?</x:v>
      </x:c>
      <x:c r="E35" s="41" t="n">
        <x:v>4</x:v>
      </x:c>
      <x:c r="F35" s="41" t="str">
        <x:v>힘든 감정을 혼자 정리하는 사람일 수도 있다고 생각한다.</x:v>
      </x:c>
      <x:c r="G35" s="37" t="str"/>
      <x:c r="H35" s="37" t="str"/>
      <x:c r="I35" s="45" t="str">
        <x:v>유연한 재해석</x:v>
      </x:c>
      <x:c r="J35" s="45" t="str"/>
      <x:c r="K35" s="37" t="n">
        <x:v>0</x:v>
      </x:c>
      <x:c r="L35" s="37" t="n">
        <x:v>0</x:v>
      </x:c>
      <x:c r="M35" s="37" t="n">
        <x:v>0</x:v>
      </x:c>
      <x:c r="N35" s="37" t="str">
        <x:v>contextual_reappraisal</x:v>
      </x:c>
      <x:c r="O35" s="37" t="n">
        <x:v>3</x:v>
      </x:c>
      <x:c r="P35" s="37" t="str">
        <x:v>상황을 고려한 재해석</x:v>
      </x:c>
      <x:c r="Q35" s="37" t="n">
        <x:v>0</x:v>
      </x:c>
      <x:c r="R35" s="37" t="n">
        <x:v>0</x:v>
      </x:c>
      <x:c r="S35" s="37" t="n">
        <x:v>0</x:v>
      </x:c>
      <x:c r="T35" s="37" t="n">
        <x:v>0</x:v>
      </x:c>
      <x:c r="U35" s="37" t="n">
        <x:v>0</x:v>
      </x:c>
      <x:c r="V35" s="37" t="n">
        <x:v>0</x:v>
      </x:c>
      <x:c r="W35" s="23" t="n">
        <x:v>0</x:v>
      </x:c>
    </x:row>
    <x:row r="36">
      <x:c r="A36" s="22" t="str">
        <x:v>S07|5</x:v>
      </x:c>
      <x:c r="B36" s="37" t="str">
        <x:v>S07</x:v>
      </x:c>
      <x:c r="C36" s="41" t="str">
        <x:v>나에게만 약한 모습을 보이는 모습</x:v>
      </x:c>
      <x:c r="D36" s="41" t="str">
        <x:v>상대가 힘든 상황에서도 나에게 약한 모습을 전혀 보이지 않는다면 나는 어떤 생각이 가장 먼저 들까요?</x:v>
      </x:c>
      <x:c r="E36" s="41" t="n">
        <x:v>5</x:v>
      </x:c>
      <x:c r="F36" s="41" t="str">
        <x:v>약함을 드러내는 방식은 사람마다 다르다고 생각한다.</x:v>
      </x:c>
      <x:c r="G36" s="37" t="str"/>
      <x:c r="H36" s="37" t="str"/>
      <x:c r="I36" s="45" t="str">
        <x:v>유연한 재해석</x:v>
      </x:c>
      <x:c r="J36" s="45" t="str"/>
      <x:c r="K36" s="37" t="n">
        <x:v>0</x:v>
      </x:c>
      <x:c r="L36" s="37" t="n">
        <x:v>0</x:v>
      </x:c>
      <x:c r="M36" s="37" t="n">
        <x:v>0</x:v>
      </x:c>
      <x:c r="N36" s="37" t="str">
        <x:v>secure_reappraisal</x:v>
      </x:c>
      <x:c r="O36" s="37" t="n">
        <x:v>4</x:v>
      </x:c>
      <x:c r="P36" s="37" t="str">
        <x:v>유연한 재해석</x:v>
      </x:c>
      <x:c r="Q36" s="37" t="n">
        <x:v>0</x:v>
      </x:c>
      <x:c r="R36" s="37" t="n">
        <x:v>0</x:v>
      </x:c>
      <x:c r="S36" s="37" t="n">
        <x:v>0</x:v>
      </x:c>
      <x:c r="T36" s="37" t="n">
        <x:v>0</x:v>
      </x:c>
      <x:c r="U36" s="37" t="n">
        <x:v>0</x:v>
      </x:c>
      <x:c r="V36" s="37" t="n">
        <x:v>0</x:v>
      </x:c>
      <x:c r="W36" s="23" t="n">
        <x:v>0</x:v>
      </x:c>
    </x:row>
    <x:row r="37">
      <x:c r="A37" s="22" t="str">
        <x:v>S08|1</x:v>
      </x:c>
      <x:c r="B37" s="37" t="str">
        <x:v>S08</x:v>
      </x:c>
      <x:c r="C37" s="41" t="str">
        <x:v>매일 사소한 일을 공유하는 모습</x:v>
      </x:c>
      <x:c r="D37" s="41" t="str">
        <x:v>상대가 매일 있었던 사소한 일을 나에게 공유하지 않는다면 나는 어떤 생각이 가장 먼저 들까요?</x:v>
      </x:c>
      <x:c r="E37" s="41" t="n">
        <x:v>1</x:v>
      </x:c>
      <x:c r="F37" s="41" t="str">
        <x:v>상대가 하루 동안 나를 거의 떠올리지 않는 것 같다.</x:v>
      </x:c>
      <x:c r="G37" s="37" t="str">
        <x:v>specialness</x:v>
      </x:c>
      <x:c r="H37" s="37" t="str">
        <x:v>intimacy</x:v>
      </x:c>
      <x:c r="I37" s="45" t="str">
        <x:v>특별함</x:v>
      </x:c>
      <x:c r="J37" s="45" t="str">
        <x:v>소속감</x:v>
      </x:c>
      <x:c r="K37" s="37" t="n">
        <x:v>4</x:v>
      </x:c>
      <x:c r="L37" s="37" t="n">
        <x:v>1</x:v>
      </x:c>
      <x:c r="M37" s="37" t="n">
        <x:v>1</x:v>
      </x:c>
      <x:c r="N37" s="37" t="str">
        <x:v>low_priority</x:v>
      </x:c>
      <x:c r="O37" s="37" t="n">
        <x:v>0</x:v>
      </x:c>
      <x:c r="P37" s="37" t="str">
        <x:v>욕구 위협 반응</x:v>
      </x:c>
      <x:c r="Q37" s="37" t="n">
        <x:v>0</x:v>
      </x:c>
      <x:c r="R37" s="37" t="n">
        <x:v>1</x:v>
      </x:c>
      <x:c r="S37" s="37" t="n">
        <x:v>4</x:v>
      </x:c>
      <x:c r="T37" s="37" t="n">
        <x:v>0</x:v>
      </x:c>
      <x:c r="U37" s="37" t="n">
        <x:v>0</x:v>
      </x:c>
      <x:c r="V37" s="37" t="n">
        <x:v>0</x:v>
      </x:c>
      <x:c r="W37" s="23" t="n">
        <x:v>0</x:v>
      </x:c>
    </x:row>
    <x:row r="38">
      <x:c r="A38" s="22" t="str">
        <x:v>S08|2</x:v>
      </x:c>
      <x:c r="B38" s="37" t="str">
        <x:v>S08</x:v>
      </x:c>
      <x:c r="C38" s="41" t="str">
        <x:v>매일 사소한 일을 공유하는 모습</x:v>
      </x:c>
      <x:c r="D38" s="41" t="str">
        <x:v>상대가 매일 있었던 사소한 일을 나에게 공유하지 않는다면 나는 어떤 생각이 가장 먼저 들까요?</x:v>
      </x:c>
      <x:c r="E38" s="41" t="n">
        <x:v>2</x:v>
      </x:c>
      <x:c r="F38" s="41" t="str">
        <x:v>내가 모르는 상대의 세계가 점점 커지는 것 같다.</x:v>
      </x:c>
      <x:c r="G38" s="37" t="str">
        <x:v>safety</x:v>
      </x:c>
      <x:c r="H38" s="37" t="str">
        <x:v>intimacy</x:v>
      </x:c>
      <x:c r="I38" s="45" t="str">
        <x:v>안전성</x:v>
      </x:c>
      <x:c r="J38" s="45" t="str">
        <x:v>소속감</x:v>
      </x:c>
      <x:c r="K38" s="37" t="n">
        <x:v>4</x:v>
      </x:c>
      <x:c r="L38" s="37" t="n">
        <x:v>1</x:v>
      </x:c>
      <x:c r="M38" s="37" t="n">
        <x:v>1</x:v>
      </x:c>
      <x:c r="N38" s="37" t="str">
        <x:v>uncertainty</x:v>
      </x:c>
      <x:c r="O38" s="37" t="n">
        <x:v>0</x:v>
      </x:c>
      <x:c r="P38" s="37" t="str">
        <x:v>욕구 위협 반응</x:v>
      </x:c>
      <x:c r="Q38" s="37" t="n">
        <x:v>4</x:v>
      </x:c>
      <x:c r="R38" s="37" t="n">
        <x:v>1</x:v>
      </x:c>
      <x:c r="S38" s="37" t="n">
        <x:v>0</x:v>
      </x:c>
      <x:c r="T38" s="37" t="n">
        <x:v>0</x:v>
      </x:c>
      <x:c r="U38" s="37" t="n">
        <x:v>0</x:v>
      </x:c>
      <x:c r="V38" s="37" t="n">
        <x:v>0</x:v>
      </x:c>
      <x:c r="W38" s="23" t="n">
        <x:v>0</x:v>
      </x:c>
    </x:row>
    <x:row r="39">
      <x:c r="A39" s="22" t="str">
        <x:v>S08|3</x:v>
      </x:c>
      <x:c r="B39" s="37" t="str">
        <x:v>S08</x:v>
      </x:c>
      <x:c r="C39" s="41" t="str">
        <x:v>매일 사소한 일을 공유하는 모습</x:v>
      </x:c>
      <x:c r="D39" s="41" t="str">
        <x:v>상대가 매일 있었던 사소한 일을 나에게 공유하지 않는다면 나는 어떤 생각이 가장 먼저 들까요?</x:v>
      </x:c>
      <x:c r="E39" s="41" t="n">
        <x:v>3</x:v>
      </x:c>
      <x:c r="F39" s="41" t="str">
        <x:v>우리 사이가 예전보다 멀어진 것 같다.</x:v>
      </x:c>
      <x:c r="G39" s="37" t="str">
        <x:v>intimacy</x:v>
      </x:c>
      <x:c r="H39" s="37" t="str">
        <x:v>safety</x:v>
      </x:c>
      <x:c r="I39" s="45" t="str">
        <x:v>소속감</x:v>
      </x:c>
      <x:c r="J39" s="45" t="str">
        <x:v>안전성</x:v>
      </x:c>
      <x:c r="K39" s="37" t="n">
        <x:v>4</x:v>
      </x:c>
      <x:c r="L39" s="37" t="n">
        <x:v>1</x:v>
      </x:c>
      <x:c r="M39" s="37" t="n">
        <x:v>1</x:v>
      </x:c>
      <x:c r="N39" s="37" t="str">
        <x:v>emotional_distance</x:v>
      </x:c>
      <x:c r="O39" s="37" t="n">
        <x:v>0</x:v>
      </x:c>
      <x:c r="P39" s="37" t="str">
        <x:v>욕구 위협 반응</x:v>
      </x:c>
      <x:c r="Q39" s="37" t="n">
        <x:v>1</x:v>
      </x:c>
      <x:c r="R39" s="37" t="n">
        <x:v>4</x:v>
      </x:c>
      <x:c r="S39" s="37" t="n">
        <x:v>0</x:v>
      </x:c>
      <x:c r="T39" s="37" t="n">
        <x:v>0</x:v>
      </x:c>
      <x:c r="U39" s="37" t="n">
        <x:v>0</x:v>
      </x:c>
      <x:c r="V39" s="37" t="n">
        <x:v>0</x:v>
      </x:c>
      <x:c r="W39" s="23" t="n">
        <x:v>0</x:v>
      </x:c>
    </x:row>
    <x:row r="40">
      <x:c r="A40" s="22" t="str">
        <x:v>S08|4</x:v>
      </x:c>
      <x:c r="B40" s="37" t="str">
        <x:v>S08</x:v>
      </x:c>
      <x:c r="C40" s="41" t="str">
        <x:v>매일 사소한 일을 공유하는 모습</x:v>
      </x:c>
      <x:c r="D40" s="41" t="str">
        <x:v>상대가 매일 있었던 사소한 일을 나에게 공유하지 않는다면 나는 어떤 생각이 가장 먼저 들까요?</x:v>
      </x:c>
      <x:c r="E40" s="41" t="n">
        <x:v>4</x:v>
      </x:c>
      <x:c r="F40" s="41" t="str">
        <x:v>모든 일상을 자세히 공유하지 않아도 관계는 유지될 수 있다고 생각한다.</x:v>
      </x:c>
      <x:c r="G40" s="37" t="str"/>
      <x:c r="H40" s="37" t="str"/>
      <x:c r="I40" s="45" t="str">
        <x:v>유연한 재해석</x:v>
      </x:c>
      <x:c r="J40" s="45" t="str"/>
      <x:c r="K40" s="37" t="n">
        <x:v>0</x:v>
      </x:c>
      <x:c r="L40" s="37" t="n">
        <x:v>0</x:v>
      </x:c>
      <x:c r="M40" s="37" t="n">
        <x:v>0</x:v>
      </x:c>
      <x:c r="N40" s="37" t="str">
        <x:v>contextual_reappraisal</x:v>
      </x:c>
      <x:c r="O40" s="37" t="n">
        <x:v>3</x:v>
      </x:c>
      <x:c r="P40" s="37" t="str">
        <x:v>상황을 고려한 재해석</x:v>
      </x:c>
      <x:c r="Q40" s="37" t="n">
        <x:v>0</x:v>
      </x:c>
      <x:c r="R40" s="37" t="n">
        <x:v>0</x:v>
      </x:c>
      <x:c r="S40" s="37" t="n">
        <x:v>0</x:v>
      </x:c>
      <x:c r="T40" s="37" t="n">
        <x:v>0</x:v>
      </x:c>
      <x:c r="U40" s="37" t="n">
        <x:v>0</x:v>
      </x:c>
      <x:c r="V40" s="37" t="n">
        <x:v>0</x:v>
      </x:c>
      <x:c r="W40" s="23" t="n">
        <x:v>0</x:v>
      </x:c>
    </x:row>
    <x:row r="41">
      <x:c r="A41" s="22" t="str">
        <x:v>S08|5</x:v>
      </x:c>
      <x:c r="B41" s="37" t="str">
        <x:v>S08</x:v>
      </x:c>
      <x:c r="C41" s="41" t="str">
        <x:v>매일 사소한 일을 공유하는 모습</x:v>
      </x:c>
      <x:c r="D41" s="41" t="str">
        <x:v>상대가 매일 있었던 사소한 일을 나에게 공유하지 않는다면 나는 어떤 생각이 가장 먼저 들까요?</x:v>
      </x:c>
      <x:c r="E41" s="41" t="n">
        <x:v>5</x:v>
      </x:c>
      <x:c r="F41" s="41" t="str">
        <x:v>연락의 양보다 중요한 순간에 서로 연결되는지가 더 중요하다고 생각한다.</x:v>
      </x:c>
      <x:c r="G41" s="37" t="str"/>
      <x:c r="H41" s="37" t="str"/>
      <x:c r="I41" s="45" t="str">
        <x:v>유연한 재해석</x:v>
      </x:c>
      <x:c r="J41" s="45" t="str"/>
      <x:c r="K41" s="37" t="n">
        <x:v>0</x:v>
      </x:c>
      <x:c r="L41" s="37" t="n">
        <x:v>0</x:v>
      </x:c>
      <x:c r="M41" s="37" t="n">
        <x:v>0</x:v>
      </x:c>
      <x:c r="N41" s="37" t="str">
        <x:v>secure_reappraisal</x:v>
      </x:c>
      <x:c r="O41" s="37" t="n">
        <x:v>4</x:v>
      </x:c>
      <x:c r="P41" s="37" t="str">
        <x:v>유연한 재해석</x:v>
      </x:c>
      <x:c r="Q41" s="37" t="n">
        <x:v>0</x:v>
      </x:c>
      <x:c r="R41" s="37" t="n">
        <x:v>0</x:v>
      </x:c>
      <x:c r="S41" s="37" t="n">
        <x:v>0</x:v>
      </x:c>
      <x:c r="T41" s="37" t="n">
        <x:v>0</x:v>
      </x:c>
      <x:c r="U41" s="37" t="n">
        <x:v>0</x:v>
      </x:c>
      <x:c r="V41" s="37" t="n">
        <x:v>0</x:v>
      </x:c>
      <x:c r="W41" s="23" t="n">
        <x:v>0</x:v>
      </x:c>
    </x:row>
    <x:row r="42">
      <x:c r="A42" s="22" t="str">
        <x:v>S09|1</x:v>
      </x:c>
      <x:c r="B42" s="37" t="str">
        <x:v>S09</x:v>
      </x:c>
      <x:c r="C42" s="41" t="str">
        <x:v>나 없이는 힘들다고 말하는 모습</x:v>
      </x:c>
      <x:c r="D42" s="41" t="str">
        <x:v>상대가 나의 도움 없이도 잘 지내며 나를 꼭 필요로 한다는 표현을 하지 않는다면 나는 어떤 생각이 가장 먼저 들까요?</x:v>
      </x:c>
      <x:c r="E42" s="41" t="n">
        <x:v>1</x:v>
      </x:c>
      <x:c r="F42" s="41" t="str">
        <x:v>나는 상대에게 없어도 되는 사람인가 보다.</x:v>
      </x:c>
      <x:c r="G42" s="37" t="str">
        <x:v>specialness</x:v>
      </x:c>
      <x:c r="H42" s="37" t="str">
        <x:v>recognition</x:v>
      </x:c>
      <x:c r="I42" s="45" t="str">
        <x:v>특별함</x:v>
      </x:c>
      <x:c r="J42" s="45" t="str"/>
      <x:c r="K42" s="37" t="n">
        <x:v>4</x:v>
      </x:c>
      <x:c r="L42" s="37" t="n">
        <x:v>0</x:v>
      </x:c>
      <x:c r="M42" s="37" t="n">
        <x:v>1</x:v>
      </x:c>
      <x:c r="N42" s="37" t="str">
        <x:v>replaceability</x:v>
      </x:c>
      <x:c r="O42" s="37" t="n">
        <x:v>0</x:v>
      </x:c>
      <x:c r="P42" s="37" t="str">
        <x:v>욕구 위협 반응</x:v>
      </x:c>
      <x:c r="Q42" s="37" t="n">
        <x:v>0</x:v>
      </x:c>
      <x:c r="R42" s="37" t="n">
        <x:v>0</x:v>
      </x:c>
      <x:c r="S42" s="37" t="n">
        <x:v>4</x:v>
      </x:c>
      <x:c r="T42" s="37" t="n">
        <x:v>0</x:v>
      </x:c>
      <x:c r="U42" s="37" t="n">
        <x:v>0</x:v>
      </x:c>
      <x:c r="V42" s="37" t="n">
        <x:v>0</x:v>
      </x:c>
      <x:c r="W42" s="23" t="n">
        <x:v>0</x:v>
      </x:c>
    </x:row>
    <x:row r="43">
      <x:c r="A43" s="22" t="str">
        <x:v>S09|2</x:v>
      </x:c>
      <x:c r="B43" s="37" t="str">
        <x:v>S09</x:v>
      </x:c>
      <x:c r="C43" s="41" t="str">
        <x:v>나 없이는 힘들다고 말하는 모습</x:v>
      </x:c>
      <x:c r="D43" s="41" t="str">
        <x:v>상대가 나의 도움 없이도 잘 지내며 나를 꼭 필요로 한다는 표현을 하지 않는다면 나는 어떤 생각이 가장 먼저 들까요?</x:v>
      </x:c>
      <x:c r="E43" s="41" t="n">
        <x:v>2</x:v>
      </x:c>
      <x:c r="F43" s="41" t="str">
        <x:v>상대가 독립적일수록 나를 쉽게 떠날 수 있을 것 같다.</x:v>
      </x:c>
      <x:c r="G43" s="37" t="str">
        <x:v>safety</x:v>
      </x:c>
      <x:c r="H43" s="37" t="str">
        <x:v>specialness</x:v>
      </x:c>
      <x:c r="I43" s="45" t="str">
        <x:v>안전성</x:v>
      </x:c>
      <x:c r="J43" s="45" t="str">
        <x:v>특별함</x:v>
      </x:c>
      <x:c r="K43" s="37" t="n">
        <x:v>4</x:v>
      </x:c>
      <x:c r="L43" s="37" t="n">
        <x:v>1</x:v>
      </x:c>
      <x:c r="M43" s="37" t="n">
        <x:v>1</x:v>
      </x:c>
      <x:c r="N43" s="37" t="str">
        <x:v>abandonment</x:v>
      </x:c>
      <x:c r="O43" s="37" t="n">
        <x:v>0</x:v>
      </x:c>
      <x:c r="P43" s="37" t="str">
        <x:v>욕구 위협 반응</x:v>
      </x:c>
      <x:c r="Q43" s="37" t="n">
        <x:v>4</x:v>
      </x:c>
      <x:c r="R43" s="37" t="n">
        <x:v>0</x:v>
      </x:c>
      <x:c r="S43" s="37" t="n">
        <x:v>1</x:v>
      </x:c>
      <x:c r="T43" s="37" t="n">
        <x:v>0</x:v>
      </x:c>
      <x:c r="U43" s="37" t="n">
        <x:v>0</x:v>
      </x:c>
      <x:c r="V43" s="37" t="n">
        <x:v>0</x:v>
      </x:c>
      <x:c r="W43" s="23" t="n">
        <x:v>0</x:v>
      </x:c>
    </x:row>
    <x:row r="44">
      <x:c r="A44" s="22" t="str">
        <x:v>S09|3</x:v>
      </x:c>
      <x:c r="B44" s="37" t="str">
        <x:v>S09</x:v>
      </x:c>
      <x:c r="C44" s="41" t="str">
        <x:v>나 없이는 힘들다고 말하는 모습</x:v>
      </x:c>
      <x:c r="D44" s="41" t="str">
        <x:v>상대가 나의 도움 없이도 잘 지내며 나를 꼭 필요로 한다는 표현을 하지 않는다면 나는 어떤 생각이 가장 먼저 들까요?</x:v>
      </x:c>
      <x:c r="E44" s="41" t="n">
        <x:v>3</x:v>
      </x:c>
      <x:c r="F44" s="41" t="str">
        <x:v>내가 관계에 기여하는 것이 별로 없는 것 같다.</x:v>
      </x:c>
      <x:c r="G44" s="37" t="str">
        <x:v>competence</x:v>
      </x:c>
      <x:c r="H44" s="37" t="str">
        <x:v>recognition</x:v>
      </x:c>
      <x:c r="I44" s="45" t="str">
        <x:v>유능함</x:v>
      </x:c>
      <x:c r="J44" s="45" t="str"/>
      <x:c r="K44" s="37" t="n">
        <x:v>4</x:v>
      </x:c>
      <x:c r="L44" s="37" t="n">
        <x:v>0</x:v>
      </x:c>
      <x:c r="M44" s="37" t="n">
        <x:v>1</x:v>
      </x:c>
      <x:c r="N44" s="37" t="str">
        <x:v>uselessness</x:v>
      </x:c>
      <x:c r="O44" s="37" t="n">
        <x:v>0</x:v>
      </x:c>
      <x:c r="P44" s="37" t="str">
        <x:v>욕구 위협 반응</x:v>
      </x:c>
      <x:c r="Q44" s="37" t="n">
        <x:v>0</x:v>
      </x:c>
      <x:c r="R44" s="37" t="n">
        <x:v>0</x:v>
      </x:c>
      <x:c r="S44" s="37" t="n">
        <x:v>0</x:v>
      </x:c>
      <x:c r="T44" s="37" t="n">
        <x:v>0</x:v>
      </x:c>
      <x:c r="U44" s="37" t="n">
        <x:v>0</x:v>
      </x:c>
      <x:c r="V44" s="37" t="n">
        <x:v>4</x:v>
      </x:c>
      <x:c r="W44" s="23" t="n">
        <x:v>0</x:v>
      </x:c>
    </x:row>
    <x:row r="45">
      <x:c r="A45" s="22" t="str">
        <x:v>S09|4</x:v>
      </x:c>
      <x:c r="B45" s="37" t="str">
        <x:v>S09</x:v>
      </x:c>
      <x:c r="C45" s="41" t="str">
        <x:v>나 없이는 힘들다고 말하는 모습</x:v>
      </x:c>
      <x:c r="D45" s="41" t="str">
        <x:v>상대가 나의 도움 없이도 잘 지내며 나를 꼭 필요로 한다는 표현을 하지 않는다면 나는 어떤 생각이 가장 먼저 들까요?</x:v>
      </x:c>
      <x:c r="E45" s="41" t="n">
        <x:v>4</x:v>
      </x:c>
      <x:c r="F45" s="41" t="str">
        <x:v>서로 독립적으로 살아갈 수 있는 것이 건강한 관계라고 생각한다.</x:v>
      </x:c>
      <x:c r="G45" s="37" t="str"/>
      <x:c r="H45" s="37" t="str"/>
      <x:c r="I45" s="45" t="str">
        <x:v>유연한 재해석</x:v>
      </x:c>
      <x:c r="J45" s="45" t="str"/>
      <x:c r="K45" s="37" t="n">
        <x:v>0</x:v>
      </x:c>
      <x:c r="L45" s="37" t="n">
        <x:v>0</x:v>
      </x:c>
      <x:c r="M45" s="37" t="n">
        <x:v>0</x:v>
      </x:c>
      <x:c r="N45" s="37" t="str">
        <x:v>contextual_reappraisal</x:v>
      </x:c>
      <x:c r="O45" s="37" t="n">
        <x:v>3</x:v>
      </x:c>
      <x:c r="P45" s="37" t="str">
        <x:v>상황을 고려한 재해석</x:v>
      </x:c>
      <x:c r="Q45" s="37" t="n">
        <x:v>0</x:v>
      </x:c>
      <x:c r="R45" s="37" t="n">
        <x:v>0</x:v>
      </x:c>
      <x:c r="S45" s="37" t="n">
        <x:v>0</x:v>
      </x:c>
      <x:c r="T45" s="37" t="n">
        <x:v>0</x:v>
      </x:c>
      <x:c r="U45" s="37" t="n">
        <x:v>0</x:v>
      </x:c>
      <x:c r="V45" s="37" t="n">
        <x:v>0</x:v>
      </x:c>
      <x:c r="W45" s="23" t="n">
        <x:v>0</x:v>
      </x:c>
    </x:row>
    <x:row r="46">
      <x:c r="A46" s="22" t="str">
        <x:v>S09|5</x:v>
      </x:c>
      <x:c r="B46" s="37" t="str">
        <x:v>S09</x:v>
      </x:c>
      <x:c r="C46" s="41" t="str">
        <x:v>나 없이는 힘들다고 말하는 모습</x:v>
      </x:c>
      <x:c r="D46" s="41" t="str">
        <x:v>상대가 나의 도움 없이도 잘 지내며 나를 꼭 필요로 한다는 표현을 하지 않는다면 나는 어떤 생각이 가장 먼저 들까요?</x:v>
      </x:c>
      <x:c r="E46" s="41" t="n">
        <x:v>5</x:v>
      </x:c>
      <x:c r="F46" s="41" t="str">
        <x:v>필요해서 함께하는 것과 원해서 함께하는 것은 다르다고 생각한다.</x:v>
      </x:c>
      <x:c r="G46" s="37" t="str"/>
      <x:c r="H46" s="37" t="str"/>
      <x:c r="I46" s="45" t="str">
        <x:v>유연한 재해석</x:v>
      </x:c>
      <x:c r="J46" s="45" t="str"/>
      <x:c r="K46" s="37" t="n">
        <x:v>0</x:v>
      </x:c>
      <x:c r="L46" s="37" t="n">
        <x:v>0</x:v>
      </x:c>
      <x:c r="M46" s="37" t="n">
        <x:v>0</x:v>
      </x:c>
      <x:c r="N46" s="37" t="str">
        <x:v>secure_reappraisal</x:v>
      </x:c>
      <x:c r="O46" s="37" t="n">
        <x:v>4</x:v>
      </x:c>
      <x:c r="P46" s="37" t="str">
        <x:v>유연한 재해석</x:v>
      </x:c>
      <x:c r="Q46" s="37" t="n">
        <x:v>0</x:v>
      </x:c>
      <x:c r="R46" s="37" t="n">
        <x:v>0</x:v>
      </x:c>
      <x:c r="S46" s="37" t="n">
        <x:v>0</x:v>
      </x:c>
      <x:c r="T46" s="37" t="n">
        <x:v>0</x:v>
      </x:c>
      <x:c r="U46" s="37" t="n">
        <x:v>0</x:v>
      </x:c>
      <x:c r="V46" s="37" t="n">
        <x:v>0</x:v>
      </x:c>
      <x:c r="W46" s="23" t="n">
        <x:v>0</x:v>
      </x:c>
    </x:row>
    <x:row r="47">
      <x:c r="A47" s="22" t="str">
        <x:v>S10|1</x:v>
      </x:c>
      <x:c r="B47" s="37" t="str">
        <x:v>S10</x:v>
      </x:c>
      <x:c r="C47" s="41" t="str">
        <x:v>함께 새로운 도전을 시작하는 모습</x:v>
      </x:c>
      <x:c r="D47" s="41" t="str">
        <x:v>상대가 나와 함께 새로운 경험이나 도전을 시작하려 하지 않는다면 나는 어떤 생각이 가장 먼저 들까요?</x:v>
      </x:c>
      <x:c r="E47" s="41" t="n">
        <x:v>1</x:v>
      </x:c>
      <x:c r="F47" s="41" t="str">
        <x:v>상대가 나와 함께 성장할 의지가 없는 것 같다.</x:v>
      </x:c>
      <x:c r="G47" s="37" t="str">
        <x:v>growth</x:v>
      </x:c>
      <x:c r="H47" s="37" t="str">
        <x:v>intimacy</x:v>
      </x:c>
      <x:c r="I47" s="45" t="str">
        <x:v>성장·발전형</x:v>
      </x:c>
      <x:c r="J47" s="45" t="str">
        <x:v>소속감</x:v>
      </x:c>
      <x:c r="K47" s="37" t="n">
        <x:v>4</x:v>
      </x:c>
      <x:c r="L47" s="37" t="n">
        <x:v>1</x:v>
      </x:c>
      <x:c r="M47" s="37" t="n">
        <x:v>1</x:v>
      </x:c>
      <x:c r="N47" s="37" t="str">
        <x:v>stagnation</x:v>
      </x:c>
      <x:c r="O47" s="37" t="n">
        <x:v>0</x:v>
      </x:c>
      <x:c r="P47" s="37" t="str">
        <x:v>욕구 위협 반응</x:v>
      </x:c>
      <x:c r="Q47" s="37" t="n">
        <x:v>0</x:v>
      </x:c>
      <x:c r="R47" s="37" t="n">
        <x:v>1</x:v>
      </x:c>
      <x:c r="S47" s="37" t="n">
        <x:v>0</x:v>
      </x:c>
      <x:c r="T47" s="37" t="n">
        <x:v>0</x:v>
      </x:c>
      <x:c r="U47" s="37" t="n">
        <x:v>0</x:v>
      </x:c>
      <x:c r="V47" s="37" t="n">
        <x:v>0</x:v>
      </x:c>
      <x:c r="W47" s="23" t="n">
        <x:v>4</x:v>
      </x:c>
    </x:row>
    <x:row r="48">
      <x:c r="A48" s="22" t="str">
        <x:v>S10|2</x:v>
      </x:c>
      <x:c r="B48" s="37" t="str">
        <x:v>S10</x:v>
      </x:c>
      <x:c r="C48" s="41" t="str">
        <x:v>함께 새로운 도전을 시작하는 모습</x:v>
      </x:c>
      <x:c r="D48" s="41" t="str">
        <x:v>상대가 나와 함께 새로운 경험이나 도전을 시작하려 하지 않는다면 나는 어떤 생각이 가장 먼저 들까요?</x:v>
      </x:c>
      <x:c r="E48" s="41" t="n">
        <x:v>2</x:v>
      </x:c>
      <x:c r="F48" s="41" t="str">
        <x:v>우리 관계가 지루하고 정체되어 가는 것 같다.</x:v>
      </x:c>
      <x:c r="G48" s="37" t="str">
        <x:v>growth</x:v>
      </x:c>
      <x:c r="H48" s="37" t="str">
        <x:v>intimacy</x:v>
      </x:c>
      <x:c r="I48" s="45" t="str">
        <x:v>성장·발전형</x:v>
      </x:c>
      <x:c r="J48" s="45" t="str">
        <x:v>소속감</x:v>
      </x:c>
      <x:c r="K48" s="37" t="n">
        <x:v>4</x:v>
      </x:c>
      <x:c r="L48" s="37" t="n">
        <x:v>1</x:v>
      </x:c>
      <x:c r="M48" s="37" t="n">
        <x:v>1</x:v>
      </x:c>
      <x:c r="N48" s="37" t="str">
        <x:v>stagnation</x:v>
      </x:c>
      <x:c r="O48" s="37" t="n">
        <x:v>0</x:v>
      </x:c>
      <x:c r="P48" s="37" t="str">
        <x:v>욕구 위협 반응</x:v>
      </x:c>
      <x:c r="Q48" s="37" t="n">
        <x:v>0</x:v>
      </x:c>
      <x:c r="R48" s="37" t="n">
        <x:v>1</x:v>
      </x:c>
      <x:c r="S48" s="37" t="n">
        <x:v>0</x:v>
      </x:c>
      <x:c r="T48" s="37" t="n">
        <x:v>0</x:v>
      </x:c>
      <x:c r="U48" s="37" t="n">
        <x:v>0</x:v>
      </x:c>
      <x:c r="V48" s="37" t="n">
        <x:v>0</x:v>
      </x:c>
      <x:c r="W48" s="23" t="n">
        <x:v>4</x:v>
      </x:c>
    </x:row>
    <x:row r="49">
      <x:c r="A49" s="22" t="str">
        <x:v>S10|3</x:v>
      </x:c>
      <x:c r="B49" s="37" t="str">
        <x:v>S10</x:v>
      </x:c>
      <x:c r="C49" s="41" t="str">
        <x:v>함께 새로운 도전을 시작하는 모습</x:v>
      </x:c>
      <x:c r="D49" s="41" t="str">
        <x:v>상대가 나와 함께 새로운 경험이나 도전을 시작하려 하지 않는다면 나는 어떤 생각이 가장 먼저 들까요?</x:v>
      </x:c>
      <x:c r="E49" s="41" t="n">
        <x:v>3</x:v>
      </x:c>
      <x:c r="F49" s="41" t="str">
        <x:v>내가 제안하는 일이나 관심사를 중요하게 여기지 않는 것 같다.</x:v>
      </x:c>
      <x:c r="G49" s="37" t="str">
        <x:v>recognition</x:v>
      </x:c>
      <x:c r="H49" s="37" t="str">
        <x:v>intimacy</x:v>
      </x:c>
      <x:c r="I49" s="45" t="str">
        <x:v>성장·발전형</x:v>
      </x:c>
      <x:c r="J49" s="45" t="str">
        <x:v>소속감</x:v>
      </x:c>
      <x:c r="K49" s="37" t="n">
        <x:v>4</x:v>
      </x:c>
      <x:c r="L49" s="37" t="n">
        <x:v>1</x:v>
      </x:c>
      <x:c r="M49" s="37" t="n">
        <x:v>1</x:v>
      </x:c>
      <x:c r="N49" s="37" t="str">
        <x:v>lack_of_validation</x:v>
      </x:c>
      <x:c r="O49" s="37" t="n">
        <x:v>0</x:v>
      </x:c>
      <x:c r="P49" s="37" t="str">
        <x:v>욕구 위협 반응</x:v>
      </x:c>
      <x:c r="Q49" s="37" t="n">
        <x:v>0</x:v>
      </x:c>
      <x:c r="R49" s="37" t="n">
        <x:v>1</x:v>
      </x:c>
      <x:c r="S49" s="37" t="n">
        <x:v>0</x:v>
      </x:c>
      <x:c r="T49" s="37" t="n">
        <x:v>0</x:v>
      </x:c>
      <x:c r="U49" s="37" t="n">
        <x:v>0</x:v>
      </x:c>
      <x:c r="V49" s="37" t="n">
        <x:v>0</x:v>
      </x:c>
      <x:c r="W49" s="23" t="n">
        <x:v>4</x:v>
      </x:c>
    </x:row>
    <x:row r="50">
      <x:c r="A50" s="22" t="str">
        <x:v>S10|4</x:v>
      </x:c>
      <x:c r="B50" s="37" t="str">
        <x:v>S10</x:v>
      </x:c>
      <x:c r="C50" s="41" t="str">
        <x:v>함께 새로운 도전을 시작하는 모습</x:v>
      </x:c>
      <x:c r="D50" s="41" t="str">
        <x:v>상대가 나와 함께 새로운 경험이나 도전을 시작하려 하지 않는다면 나는 어떤 생각이 가장 먼저 들까요?</x:v>
      </x:c>
      <x:c r="E50" s="41" t="n">
        <x:v>4</x:v>
      </x:c>
      <x:c r="F50" s="41" t="str">
        <x:v>서로 좋아하는 활동이 다를 수 있다고 생각한다.</x:v>
      </x:c>
      <x:c r="G50" s="37" t="str"/>
      <x:c r="H50" s="37" t="str"/>
      <x:c r="I50" s="45" t="str">
        <x:v>유연한 재해석</x:v>
      </x:c>
      <x:c r="J50" s="45" t="str"/>
      <x:c r="K50" s="37" t="n">
        <x:v>0</x:v>
      </x:c>
      <x:c r="L50" s="37" t="n">
        <x:v>0</x:v>
      </x:c>
      <x:c r="M50" s="37" t="n">
        <x:v>0</x:v>
      </x:c>
      <x:c r="N50" s="37" t="str">
        <x:v>contextual_reappraisal</x:v>
      </x:c>
      <x:c r="O50" s="37" t="n">
        <x:v>3</x:v>
      </x:c>
      <x:c r="P50" s="37" t="str">
        <x:v>상황을 고려한 재해석</x:v>
      </x:c>
      <x:c r="Q50" s="37" t="n">
        <x:v>0</x:v>
      </x:c>
      <x:c r="R50" s="37" t="n">
        <x:v>0</x:v>
      </x:c>
      <x:c r="S50" s="37" t="n">
        <x:v>0</x:v>
      </x:c>
      <x:c r="T50" s="37" t="n">
        <x:v>0</x:v>
      </x:c>
      <x:c r="U50" s="37" t="n">
        <x:v>0</x:v>
      </x:c>
      <x:c r="V50" s="37" t="n">
        <x:v>0</x:v>
      </x:c>
      <x:c r="W50" s="23" t="n">
        <x:v>0</x:v>
      </x:c>
    </x:row>
    <x:row r="51">
      <x:c r="A51" s="22" t="str">
        <x:v>S10|5</x:v>
      </x:c>
      <x:c r="B51" s="37" t="str">
        <x:v>S10</x:v>
      </x:c>
      <x:c r="C51" s="41" t="str">
        <x:v>함께 새로운 도전을 시작하는 모습</x:v>
      </x:c>
      <x:c r="D51" s="41" t="str">
        <x:v>상대가 나와 함께 새로운 경험이나 도전을 시작하려 하지 않는다면 나는 어떤 생각이 가장 먼저 들까요?</x:v>
      </x:c>
      <x:c r="E51" s="41" t="n">
        <x:v>5</x:v>
      </x:c>
      <x:c r="F51" s="41" t="str">
        <x:v>모든 도전을 함께하지 않아도 각자의 성장을 지지할 수 있다고 생각한다.</x:v>
      </x:c>
      <x:c r="G51" s="37" t="str"/>
      <x:c r="H51" s="37" t="str"/>
      <x:c r="I51" s="45" t="str">
        <x:v>유연한 재해석</x:v>
      </x:c>
      <x:c r="J51" s="45" t="str"/>
      <x:c r="K51" s="37" t="n">
        <x:v>0</x:v>
      </x:c>
      <x:c r="L51" s="37" t="n">
        <x:v>0</x:v>
      </x:c>
      <x:c r="M51" s="37" t="n">
        <x:v>0</x:v>
      </x:c>
      <x:c r="N51" s="37" t="str">
        <x:v>secure_reappraisal</x:v>
      </x:c>
      <x:c r="O51" s="37" t="n">
        <x:v>4</x:v>
      </x:c>
      <x:c r="P51" s="37" t="str">
        <x:v>유연한 재해석</x:v>
      </x:c>
      <x:c r="Q51" s="37" t="n">
        <x:v>0</x:v>
      </x:c>
      <x:c r="R51" s="37" t="n">
        <x:v>0</x:v>
      </x:c>
      <x:c r="S51" s="37" t="n">
        <x:v>0</x:v>
      </x:c>
      <x:c r="T51" s="37" t="n">
        <x:v>0</x:v>
      </x:c>
      <x:c r="U51" s="37" t="n">
        <x:v>0</x:v>
      </x:c>
      <x:c r="V51" s="37" t="n">
        <x:v>0</x:v>
      </x:c>
      <x:c r="W51" s="23" t="n">
        <x:v>0</x:v>
      </x:c>
    </x:row>
    <x:row r="52">
      <x:c r="A52" s="22" t="str">
        <x:v>S11|1</x:v>
      </x:c>
      <x:c r="B52" s="37" t="str">
        <x:v>S11</x:v>
      </x:c>
      <x:c r="C52" s="41" t="str">
        <x:v>내 감정을 말하지 않아도 알아채는 모습</x:v>
      </x:c>
      <x:c r="D52" s="41" t="str">
        <x:v>내가 힘들어 보이는데도 상대가 내 감정을 알아채지 못한다면 나는 어떤 생각이 가장 먼저 들까요?</x:v>
      </x:c>
      <x:c r="E52" s="41" t="n">
        <x:v>1</x:v>
      </x:c>
      <x:c r="F52" s="41" t="str">
        <x:v>상대는 나에게 충분한 관심을 기울이지 않는 것 같다.</x:v>
      </x:c>
      <x:c r="G52" s="37" t="str">
        <x:v>care</x:v>
      </x:c>
      <x:c r="H52" s="37" t="str">
        <x:v>intimacy</x:v>
      </x:c>
      <x:c r="I52" s="45" t="str">
        <x:v>보호자</x:v>
      </x:c>
      <x:c r="J52" s="45" t="str">
        <x:v>소속감</x:v>
      </x:c>
      <x:c r="K52" s="37" t="n">
        <x:v>4</x:v>
      </x:c>
      <x:c r="L52" s="37" t="n">
        <x:v>1</x:v>
      </x:c>
      <x:c r="M52" s="37" t="n">
        <x:v>1</x:v>
      </x:c>
      <x:c r="N52" s="37" t="str">
        <x:v>emotional_neglect</x:v>
      </x:c>
      <x:c r="O52" s="37" t="n">
        <x:v>0</x:v>
      </x:c>
      <x:c r="P52" s="37" t="str">
        <x:v>욕구 위협 반응</x:v>
      </x:c>
      <x:c r="Q52" s="37" t="n">
        <x:v>0</x:v>
      </x:c>
      <x:c r="R52" s="37" t="n">
        <x:v>1</x:v>
      </x:c>
      <x:c r="S52" s="37" t="n">
        <x:v>0</x:v>
      </x:c>
      <x:c r="T52" s="37" t="n">
        <x:v>4</x:v>
      </x:c>
      <x:c r="U52" s="37" t="n">
        <x:v>0</x:v>
      </x:c>
      <x:c r="V52" s="37" t="n">
        <x:v>0</x:v>
      </x:c>
      <x:c r="W52" s="23" t="n">
        <x:v>0</x:v>
      </x:c>
    </x:row>
    <x:row r="53">
      <x:c r="A53" s="22" t="str">
        <x:v>S11|2</x:v>
      </x:c>
      <x:c r="B53" s="37" t="str">
        <x:v>S11</x:v>
      </x:c>
      <x:c r="C53" s="41" t="str">
        <x:v>내 감정을 말하지 않아도 알아채는 모습</x:v>
      </x:c>
      <x:c r="D53" s="41" t="str">
        <x:v>내가 힘들어 보이는데도 상대가 내 감정을 알아채지 못한다면 나는 어떤 생각이 가장 먼저 들까요?</x:v>
      </x:c>
      <x:c r="E53" s="41" t="n">
        <x:v>2</x:v>
      </x:c>
      <x:c r="F53" s="41" t="str">
        <x:v>나를 정말 사랑한다면 이 정도는 알아야 하는 것 같다.</x:v>
      </x:c>
      <x:c r="G53" s="37" t="str">
        <x:v>intimacy</x:v>
      </x:c>
      <x:c r="H53" s="37" t="str">
        <x:v>specialness</x:v>
      </x:c>
      <x:c r="I53" s="45" t="str">
        <x:v>소속감</x:v>
      </x:c>
      <x:c r="J53" s="45" t="str">
        <x:v>특별함</x:v>
      </x:c>
      <x:c r="K53" s="37" t="n">
        <x:v>4</x:v>
      </x:c>
      <x:c r="L53" s="37" t="n">
        <x:v>1</x:v>
      </x:c>
      <x:c r="M53" s="37" t="n">
        <x:v>1</x:v>
      </x:c>
      <x:c r="N53" s="37" t="str">
        <x:v>mind_reading_expectation</x:v>
      </x:c>
      <x:c r="O53" s="37" t="n">
        <x:v>0</x:v>
      </x:c>
      <x:c r="P53" s="37" t="str">
        <x:v>욕구 위협 반응</x:v>
      </x:c>
      <x:c r="Q53" s="37" t="n">
        <x:v>0</x:v>
      </x:c>
      <x:c r="R53" s="37" t="n">
        <x:v>4</x:v>
      </x:c>
      <x:c r="S53" s="37" t="n">
        <x:v>1</x:v>
      </x:c>
      <x:c r="T53" s="37" t="n">
        <x:v>0</x:v>
      </x:c>
      <x:c r="U53" s="37" t="n">
        <x:v>0</x:v>
      </x:c>
      <x:c r="V53" s="37" t="n">
        <x:v>0</x:v>
      </x:c>
      <x:c r="W53" s="23" t="n">
        <x:v>0</x:v>
      </x:c>
    </x:row>
    <x:row r="54">
      <x:c r="A54" s="22" t="str">
        <x:v>S11|3</x:v>
      </x:c>
      <x:c r="B54" s="37" t="str">
        <x:v>S11</x:v>
      </x:c>
      <x:c r="C54" s="41" t="str">
        <x:v>내 감정을 말하지 않아도 알아채는 모습</x:v>
      </x:c>
      <x:c r="D54" s="41" t="str">
        <x:v>내가 힘들어 보이는데도 상대가 내 감정을 알아채지 못한다면 나는 어떤 생각이 가장 먼저 들까요?</x:v>
      </x:c>
      <x:c r="E54" s="41" t="n">
        <x:v>3</x:v>
      </x:c>
      <x:c r="F54" s="41" t="str">
        <x:v>내 감정은 상대에게 별로 중요하지 않은가 보다.</x:v>
      </x:c>
      <x:c r="G54" s="37" t="str">
        <x:v>recognition</x:v>
      </x:c>
      <x:c r="H54" s="37" t="str">
        <x:v>care</x:v>
      </x:c>
      <x:c r="I54" s="45" t="str">
        <x:v>보호자</x:v>
      </x:c>
      <x:c r="J54" s="45" t="str"/>
      <x:c r="K54" s="37" t="n">
        <x:v>4</x:v>
      </x:c>
      <x:c r="L54" s="37" t="n">
        <x:v>0</x:v>
      </x:c>
      <x:c r="M54" s="37" t="n">
        <x:v>1</x:v>
      </x:c>
      <x:c r="N54" s="37" t="str">
        <x:v>emotional_invalidation</x:v>
      </x:c>
      <x:c r="O54" s="37" t="n">
        <x:v>0</x:v>
      </x:c>
      <x:c r="P54" s="37" t="str">
        <x:v>욕구 위협 반응</x:v>
      </x:c>
      <x:c r="Q54" s="37" t="n">
        <x:v>0</x:v>
      </x:c>
      <x:c r="R54" s="37" t="n">
        <x:v>0</x:v>
      </x:c>
      <x:c r="S54" s="37" t="n">
        <x:v>0</x:v>
      </x:c>
      <x:c r="T54" s="37" t="n">
        <x:v>4</x:v>
      </x:c>
      <x:c r="U54" s="37" t="n">
        <x:v>0</x:v>
      </x:c>
      <x:c r="V54" s="37" t="n">
        <x:v>0</x:v>
      </x:c>
      <x:c r="W54" s="23" t="n">
        <x:v>0</x:v>
      </x:c>
    </x:row>
    <x:row r="55">
      <x:c r="A55" s="22" t="str">
        <x:v>S11|4</x:v>
      </x:c>
      <x:c r="B55" s="37" t="str">
        <x:v>S11</x:v>
      </x:c>
      <x:c r="C55" s="41" t="str">
        <x:v>내 감정을 말하지 않아도 알아채는 모습</x:v>
      </x:c>
      <x:c r="D55" s="41" t="str">
        <x:v>내가 힘들어 보이는데도 상대가 내 감정을 알아채지 못한다면 나는 어떤 생각이 가장 먼저 들까요?</x:v>
      </x:c>
      <x:c r="E55" s="41" t="n">
        <x:v>4</x:v>
      </x:c>
      <x:c r="F55" s="41" t="str">
        <x:v>내가 말하지 않은 감정을 정확히 알아차리기는 어려울 수 있다고 생각한다.</x:v>
      </x:c>
      <x:c r="G55" s="37" t="str"/>
      <x:c r="H55" s="37" t="str"/>
      <x:c r="I55" s="45" t="str">
        <x:v>유연한 재해석</x:v>
      </x:c>
      <x:c r="J55" s="45" t="str"/>
      <x:c r="K55" s="37" t="n">
        <x:v>0</x:v>
      </x:c>
      <x:c r="L55" s="37" t="n">
        <x:v>0</x:v>
      </x:c>
      <x:c r="M55" s="37" t="n">
        <x:v>0</x:v>
      </x:c>
      <x:c r="N55" s="37" t="str">
        <x:v>contextual_reappraisal</x:v>
      </x:c>
      <x:c r="O55" s="37" t="n">
        <x:v>3</x:v>
      </x:c>
      <x:c r="P55" s="37" t="str">
        <x:v>상황을 고려한 재해석</x:v>
      </x:c>
      <x:c r="Q55" s="37" t="n">
        <x:v>0</x:v>
      </x:c>
      <x:c r="R55" s="37" t="n">
        <x:v>0</x:v>
      </x:c>
      <x:c r="S55" s="37" t="n">
        <x:v>0</x:v>
      </x:c>
      <x:c r="T55" s="37" t="n">
        <x:v>0</x:v>
      </x:c>
      <x:c r="U55" s="37" t="n">
        <x:v>0</x:v>
      </x:c>
      <x:c r="V55" s="37" t="n">
        <x:v>0</x:v>
      </x:c>
      <x:c r="W55" s="23" t="n">
        <x:v>0</x:v>
      </x:c>
    </x:row>
    <x:row r="56">
      <x:c r="A56" s="22" t="str">
        <x:v>S11|5</x:v>
      </x:c>
      <x:c r="B56" s="37" t="str">
        <x:v>S11</x:v>
      </x:c>
      <x:c r="C56" s="41" t="str">
        <x:v>내 감정을 말하지 않아도 알아채는 모습</x:v>
      </x:c>
      <x:c r="D56" s="41" t="str">
        <x:v>내가 힘들어 보이는데도 상대가 내 감정을 알아채지 못한다면 나는 어떤 생각이 가장 먼저 들까요?</x:v>
      </x:c>
      <x:c r="E56" s="41" t="n">
        <x:v>5</x:v>
      </x:c>
      <x:c r="F56" s="41" t="str">
        <x:v>가까운 관계에서도 감정은 직접 표현해야 전달될 수 있다고 생각한다.</x:v>
      </x:c>
      <x:c r="G56" s="37" t="str"/>
      <x:c r="H56" s="37" t="str"/>
      <x:c r="I56" s="45" t="str">
        <x:v>유연한 재해석</x:v>
      </x:c>
      <x:c r="J56" s="45" t="str"/>
      <x:c r="K56" s="37" t="n">
        <x:v>0</x:v>
      </x:c>
      <x:c r="L56" s="37" t="n">
        <x:v>0</x:v>
      </x:c>
      <x:c r="M56" s="37" t="n">
        <x:v>0</x:v>
      </x:c>
      <x:c r="N56" s="37" t="str">
        <x:v>secure_reappraisal</x:v>
      </x:c>
      <x:c r="O56" s="37" t="n">
        <x:v>4</x:v>
      </x:c>
      <x:c r="P56" s="37" t="str">
        <x:v>유연한 재해석</x:v>
      </x:c>
      <x:c r="Q56" s="37" t="n">
        <x:v>0</x:v>
      </x:c>
      <x:c r="R56" s="37" t="n">
        <x:v>0</x:v>
      </x:c>
      <x:c r="S56" s="37" t="n">
        <x:v>0</x:v>
      </x:c>
      <x:c r="T56" s="37" t="n">
        <x:v>0</x:v>
      </x:c>
      <x:c r="U56" s="37" t="n">
        <x:v>0</x:v>
      </x:c>
      <x:c r="V56" s="37" t="n">
        <x:v>0</x:v>
      </x:c>
      <x:c r="W56" s="23" t="n">
        <x:v>0</x:v>
      </x:c>
    </x:row>
    <x:row r="57">
      <x:c r="A57" s="22" t="str">
        <x:v>S12|1</x:v>
      </x:c>
      <x:c r="B57" s="37" t="str">
        <x:v>S12</x:v>
      </x:c>
      <x:c r="C57" s="41" t="str">
        <x:v>각자의 시간을 편안하게 보내는 모습</x:v>
      </x:c>
      <x:c r="D57" s="41" t="str">
        <x:v>상대가 각자의 시간을 보내는 것을 불편해하거나 계속 함께 있으려 한다면 나는 어떤 생각이 가장 먼저 들까요?</x:v>
      </x:c>
      <x:c r="E57" s="41" t="n">
        <x:v>1</x:v>
      </x:c>
      <x:c r="F57" s="41" t="str">
        <x:v>상대가 나를 믿지 못하고 통제하려는 것 같다.</x:v>
      </x:c>
      <x:c r="G57" s="37" t="str">
        <x:v>autonomy</x:v>
      </x:c>
      <x:c r="H57" s="37" t="str">
        <x:v>safety</x:v>
      </x:c>
      <x:c r="I57" s="45" t="str">
        <x:v>독립심</x:v>
      </x:c>
      <x:c r="J57" s="45" t="str">
        <x:v>안전성</x:v>
      </x:c>
      <x:c r="K57" s="37" t="n">
        <x:v>4</x:v>
      </x:c>
      <x:c r="L57" s="37" t="n">
        <x:v>1</x:v>
      </x:c>
      <x:c r="M57" s="37" t="n">
        <x:v>1</x:v>
      </x:c>
      <x:c r="N57" s="37" t="str">
        <x:v>control_threat</x:v>
      </x:c>
      <x:c r="O57" s="37" t="n">
        <x:v>0</x:v>
      </x:c>
      <x:c r="P57" s="37" t="str">
        <x:v>욕구 위협 반응</x:v>
      </x:c>
      <x:c r="Q57" s="37" t="n">
        <x:v>1</x:v>
      </x:c>
      <x:c r="R57" s="37" t="n">
        <x:v>0</x:v>
      </x:c>
      <x:c r="S57" s="37" t="n">
        <x:v>0</x:v>
      </x:c>
      <x:c r="T57" s="37" t="n">
        <x:v>0</x:v>
      </x:c>
      <x:c r="U57" s="37" t="n">
        <x:v>4</x:v>
      </x:c>
      <x:c r="V57" s="37" t="n">
        <x:v>0</x:v>
      </x:c>
      <x:c r="W57" s="23" t="n">
        <x:v>0</x:v>
      </x:c>
    </x:row>
    <x:row r="58">
      <x:c r="A58" s="22" t="str">
        <x:v>S12|2</x:v>
      </x:c>
      <x:c r="B58" s="37" t="str">
        <x:v>S12</x:v>
      </x:c>
      <x:c r="C58" s="41" t="str">
        <x:v>각자의 시간을 편안하게 보내는 모습</x:v>
      </x:c>
      <x:c r="D58" s="41" t="str">
        <x:v>상대가 각자의 시간을 보내는 것을 불편해하거나 계속 함께 있으려 한다면 나는 어떤 생각이 가장 먼저 들까요?</x:v>
      </x:c>
      <x:c r="E58" s="41" t="n">
        <x:v>2</x:v>
      </x:c>
      <x:c r="F58" s="41" t="str">
        <x:v>관계 안에서는 개인적인 시간과 공간을 가질 수 없는 것 같다.</x:v>
      </x:c>
      <x:c r="G58" s="37" t="str">
        <x:v>autonomy</x:v>
      </x:c>
      <x:c r="H58" s="37" t="str"/>
      <x:c r="I58" s="45" t="str">
        <x:v>독립심</x:v>
      </x:c>
      <x:c r="J58" s="45" t="str"/>
      <x:c r="K58" s="37" t="n">
        <x:v>4</x:v>
      </x:c>
      <x:c r="L58" s="37" t="n">
        <x:v>0</x:v>
      </x:c>
      <x:c r="M58" s="37" t="n">
        <x:v>1</x:v>
      </x:c>
      <x:c r="N58" s="37" t="str">
        <x:v>boundary_threat</x:v>
      </x:c>
      <x:c r="O58" s="37" t="n">
        <x:v>0</x:v>
      </x:c>
      <x:c r="P58" s="37" t="str">
        <x:v>욕구 위협 반응</x:v>
      </x:c>
      <x:c r="Q58" s="37" t="n">
        <x:v>0</x:v>
      </x:c>
      <x:c r="R58" s="37" t="n">
        <x:v>0</x:v>
      </x:c>
      <x:c r="S58" s="37" t="n">
        <x:v>0</x:v>
      </x:c>
      <x:c r="T58" s="37" t="n">
        <x:v>0</x:v>
      </x:c>
      <x:c r="U58" s="37" t="n">
        <x:v>4</x:v>
      </x:c>
      <x:c r="V58" s="37" t="n">
        <x:v>0</x:v>
      </x:c>
      <x:c r="W58" s="23" t="n">
        <x:v>0</x:v>
      </x:c>
    </x:row>
    <x:row r="59">
      <x:c r="A59" s="22" t="str">
        <x:v>S12|3</x:v>
      </x:c>
      <x:c r="B59" s="37" t="str">
        <x:v>S12</x:v>
      </x:c>
      <x:c r="C59" s="41" t="str">
        <x:v>각자의 시간을 편안하게 보내는 모습</x:v>
      </x:c>
      <x:c r="D59" s="41" t="str">
        <x:v>상대가 각자의 시간을 보내는 것을 불편해하거나 계속 함께 있으려 한다면 나는 어떤 생각이 가장 먼저 들까요?</x:v>
      </x:c>
      <x:c r="E59" s="41" t="n">
        <x:v>3</x:v>
      </x:c>
      <x:c r="F59" s="41" t="str">
        <x:v>떨어져 있으면 관계가 불안해질 만큼 상대가 나에게 의존하는 것 같다.</x:v>
      </x:c>
      <x:c r="G59" s="37" t="str">
        <x:v>autonomy</x:v>
      </x:c>
      <x:c r="H59" s="37" t="str">
        <x:v>safety</x:v>
      </x:c>
      <x:c r="I59" s="45" t="str">
        <x:v>독립심</x:v>
      </x:c>
      <x:c r="J59" s="45" t="str">
        <x:v>안전성</x:v>
      </x:c>
      <x:c r="K59" s="37" t="n">
        <x:v>4</x:v>
      </x:c>
      <x:c r="L59" s="37" t="n">
        <x:v>1</x:v>
      </x:c>
      <x:c r="M59" s="37" t="n">
        <x:v>1</x:v>
      </x:c>
      <x:c r="N59" s="37" t="str">
        <x:v>enmeshment_threat</x:v>
      </x:c>
      <x:c r="O59" s="37" t="n">
        <x:v>0</x:v>
      </x:c>
      <x:c r="P59" s="37" t="str">
        <x:v>욕구 위협 반응</x:v>
      </x:c>
      <x:c r="Q59" s="37" t="n">
        <x:v>1</x:v>
      </x:c>
      <x:c r="R59" s="37" t="n">
        <x:v>0</x:v>
      </x:c>
      <x:c r="S59" s="37" t="n">
        <x:v>0</x:v>
      </x:c>
      <x:c r="T59" s="37" t="n">
        <x:v>0</x:v>
      </x:c>
      <x:c r="U59" s="37" t="n">
        <x:v>4</x:v>
      </x:c>
      <x:c r="V59" s="37" t="n">
        <x:v>0</x:v>
      </x:c>
      <x:c r="W59" s="23" t="n">
        <x:v>0</x:v>
      </x:c>
    </x:row>
    <x:row r="60">
      <x:c r="A60" s="22" t="str">
        <x:v>S12|4</x:v>
      </x:c>
      <x:c r="B60" s="37" t="str">
        <x:v>S12</x:v>
      </x:c>
      <x:c r="C60" s="41" t="str">
        <x:v>각자의 시간을 편안하게 보내는 모습</x:v>
      </x:c>
      <x:c r="D60" s="41" t="str">
        <x:v>상대가 각자의 시간을 보내는 것을 불편해하거나 계속 함께 있으려 한다면 나는 어떤 생각이 가장 먼저 들까요?</x:v>
      </x:c>
      <x:c r="E60" s="41" t="n">
        <x:v>4</x:v>
      </x:c>
      <x:c r="F60" s="41" t="str">
        <x:v>상대에게는 함께 보내는 시간이 사랑을 확인하는 방식일 수 있다고 생각한다.</x:v>
      </x:c>
      <x:c r="G60" s="37" t="str"/>
      <x:c r="H60" s="37" t="str"/>
      <x:c r="I60" s="45" t="str">
        <x:v>유연한 재해석</x:v>
      </x:c>
      <x:c r="J60" s="45" t="str"/>
      <x:c r="K60" s="37" t="n">
        <x:v>0</x:v>
      </x:c>
      <x:c r="L60" s="37" t="n">
        <x:v>0</x:v>
      </x:c>
      <x:c r="M60" s="37" t="n">
        <x:v>0</x:v>
      </x:c>
      <x:c r="N60" s="37" t="str">
        <x:v>contextual_reappraisal</x:v>
      </x:c>
      <x:c r="O60" s="37" t="n">
        <x:v>3</x:v>
      </x:c>
      <x:c r="P60" s="37" t="str">
        <x:v>상황을 고려한 재해석</x:v>
      </x:c>
      <x:c r="Q60" s="37" t="n">
        <x:v>0</x:v>
      </x:c>
      <x:c r="R60" s="37" t="n">
        <x:v>0</x:v>
      </x:c>
      <x:c r="S60" s="37" t="n">
        <x:v>0</x:v>
      </x:c>
      <x:c r="T60" s="37" t="n">
        <x:v>0</x:v>
      </x:c>
      <x:c r="U60" s="37" t="n">
        <x:v>0</x:v>
      </x:c>
      <x:c r="V60" s="37" t="n">
        <x:v>0</x:v>
      </x:c>
      <x:c r="W60" s="23" t="n">
        <x:v>0</x:v>
      </x:c>
    </x:row>
    <x:row r="61">
      <x:c r="A61" s="24" t="str">
        <x:v>S12|5</x:v>
      </x:c>
      <x:c r="B61" s="38" t="str">
        <x:v>S12</x:v>
      </x:c>
      <x:c r="C61" s="42" t="str">
        <x:v>각자의 시간을 편안하게 보내는 모습</x:v>
      </x:c>
      <x:c r="D61" s="42" t="str">
        <x:v>상대가 각자의 시간을 보내는 것을 불편해하거나 계속 함께 있으려 한다면 나는 어떤 생각이 가장 먼저 들까요?</x:v>
      </x:c>
      <x:c r="E61" s="42" t="n">
        <x:v>5</x:v>
      </x:c>
      <x:c r="F61" s="42" t="str">
        <x:v>친밀함과 독립성 사이의 균형은 함께 조율할 수 있다고 생각한다.</x:v>
      </x:c>
      <x:c r="G61" s="38" t="str"/>
      <x:c r="H61" s="38" t="str"/>
      <x:c r="I61" s="46" t="str">
        <x:v>유연한 재해석</x:v>
      </x:c>
      <x:c r="J61" s="46" t="str"/>
      <x:c r="K61" s="38" t="n">
        <x:v>0</x:v>
      </x:c>
      <x:c r="L61" s="38" t="n">
        <x:v>0</x:v>
      </x:c>
      <x:c r="M61" s="38" t="n">
        <x:v>0</x:v>
      </x:c>
      <x:c r="N61" s="38" t="str">
        <x:v>secure_reappraisal</x:v>
      </x:c>
      <x:c r="O61" s="38" t="n">
        <x:v>4</x:v>
      </x:c>
      <x:c r="P61" s="38" t="str">
        <x:v>유연한 재해석</x:v>
      </x:c>
      <x:c r="Q61" s="38" t="n">
        <x:v>0</x:v>
      </x:c>
      <x:c r="R61" s="38" t="n">
        <x:v>0</x:v>
      </x:c>
      <x:c r="S61" s="38" t="n">
        <x:v>0</x:v>
      </x:c>
      <x:c r="T61" s="38" t="n">
        <x:v>0</x:v>
      </x:c>
      <x:c r="U61" s="38" t="n">
        <x:v>0</x:v>
      </x:c>
      <x:c r="V61" s="38" t="n">
        <x:v>0</x:v>
      </x:c>
      <x:c r="W61" s="25" t="n">
        <x:v>0</x:v>
      </x:c>
    </x:row>
  </x:sheetData>
  <x:conditionalFormatting sqref="Q2:W61">
    <x:cfRule type="dataBar" priority="1">
      <x:dataBar>
        <x:cfvo type="min"/>
        <x:cfvo type="max"/>
        <x:color rgb="FF4C78A8"/>
      </x:dataBar>
      <x:extLst>
        <x:ext xmlns:x14="http://schemas.microsoft.com/office/spreadsheetml/2009/9/main" uri="{B025F937-C7B1-47D3-B67F-A62EFF666E3E}">
          <x14:id>{DBCA53D1-DF99-7EF8-4F63-E6C75BEE1539}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f9b7963e8004f0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BCA53D1-DF99-7EF8-4F63-E6C75BEE1539}">
            <x14:dataBar gradient="1">
              <x14:cfvo type="min"/>
              <x14:cfvo type="max"/>
              <x14:fillColor rgb="FF4C78A8"/>
            </x14:dataBar>
          </x14:cfRule>
          <xm:sqref>Q2:W61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9" hidden="0" customWidth="1"/>
    <x:col min="3" max="3" width="27" hidden="0" customWidth="1"/>
    <x:col min="4" max="4" width="44" hidden="0" customWidth="1"/>
    <x:col min="5" max="5" width="9" hidden="0" customWidth="1"/>
    <x:col min="6" max="6" width="44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>
      <x:c r="A1" s="20" t="str">
        <x:v>키</x:v>
      </x:c>
      <x:c r="B1" s="36" t="str">
        <x:v>상황ID</x:v>
      </x:c>
      <x:c r="C1" s="36" t="str">
        <x:v>상황명</x:v>
      </x:c>
      <x:c r="D1" s="36" t="str">
        <x:v>행동 문항</x:v>
      </x:c>
      <x:c r="E1" s="36" t="str">
        <x:v>선택번호</x:v>
      </x:c>
      <x:c r="F1" s="36" t="str">
        <x:v>응답</x:v>
      </x:c>
      <x:c r="G1" s="36" t="str">
        <x:v>전략코드</x:v>
      </x:c>
      <x:c r="H1" s="36" t="str">
        <x:v>대응전략</x:v>
      </x:c>
      <x:c r="I1" s="36" t="str">
        <x:v>전략점수</x:v>
      </x:c>
      <x:c r="J1" s="21" t="str">
        <x:v>결과 표시 방식</x:v>
      </x:c>
    </x:row>
    <x:row r="2">
      <x:c r="A2" s="22" t="str">
        <x:v>S01|1</x:v>
      </x:c>
      <x:c r="B2" s="37" t="str">
        <x:v>S01</x:v>
      </x:c>
      <x:c r="C2" s="41" t="str">
        <x:v>질투하는 모습</x:v>
      </x:c>
      <x:c r="D2" s="41" t="str">
        <x:v>상대가 전혀 질투하지 않는다면 나는 주로 어떻게 행동할까요?</x:v>
      </x:c>
      <x:c r="E2" s="41" t="n">
        <x:v>1</x:v>
      </x:c>
      <x:c r="F2" s="41" t="str">
        <x:v>다른 이성에게 관심받았던 일을 일부러 이야기한다.</x:v>
      </x:c>
      <x:c r="G2" s="37" t="str">
        <x:v>protest_control</x:v>
      </x:c>
      <x:c r="H2" s="49" t="str">
        <x:v>반응 유도·통제</x:v>
      </x:c>
      <x:c r="I2" s="37" t="n">
        <x:v>4</x:v>
      </x:c>
      <x:c r="J2" s="23" t="str">
        <x:v>전략의 단점 제시</x:v>
      </x:c>
    </x:row>
    <x:row r="3">
      <x:c r="A3" s="22" t="str">
        <x:v>S01|2</x:v>
      </x:c>
      <x:c r="B3" s="37" t="str">
        <x:v>S01</x:v>
      </x:c>
      <x:c r="C3" s="41" t="str">
        <x:v>질투하는 모습</x:v>
      </x:c>
      <x:c r="D3" s="41" t="str">
        <x:v>상대가 전혀 질투하지 않는다면 나는 주로 어떻게 행동할까요?</x:v>
      </x:c>
      <x:c r="E3" s="41" t="n">
        <x:v>2</x:v>
      </x:c>
      <x:c r="F3" s="41" t="str">
        <x:v>상대의 연락 횟수와 말투를 계속 확인한다.</x:v>
      </x:c>
      <x:c r="G3" s="37" t="str">
        <x:v>reassurance_monitoring</x:v>
      </x:c>
      <x:c r="H3" s="49" t="str">
        <x:v>확인·감시</x:v>
      </x:c>
      <x:c r="I3" s="37" t="n">
        <x:v>4</x:v>
      </x:c>
      <x:c r="J3" s="23" t="str">
        <x:v>전략의 단점 제시</x:v>
      </x:c>
    </x:row>
    <x:row r="4">
      <x:c r="A4" s="22" t="str">
        <x:v>S01|3</x:v>
      </x:c>
      <x:c r="B4" s="37" t="str">
        <x:v>S01</x:v>
      </x:c>
      <x:c r="C4" s="41" t="str">
        <x:v>질투하는 모습</x:v>
      </x:c>
      <x:c r="D4" s="41" t="str">
        <x:v>상대가 전혀 질투하지 않는다면 나는 주로 어떻게 행동할까요?</x:v>
      </x:c>
      <x:c r="E4" s="41" t="n">
        <x:v>3</x:v>
      </x:c>
      <x:c r="F4" s="41" t="str">
        <x:v>아무렇지 않은 척하지만 혼자 관계를 포기할 준비를 한다.</x:v>
      </x:c>
      <x:c r="G4" s="37" t="str">
        <x:v>withdrawal_protection</x:v>
      </x:c>
      <x:c r="H4" s="49" t="str">
        <x:v>철수·거리두기</x:v>
      </x:c>
      <x:c r="I4" s="37" t="n">
        <x:v>4</x:v>
      </x:c>
      <x:c r="J4" s="23" t="str">
        <x:v>전략의 단점 제시</x:v>
      </x:c>
    </x:row>
    <x:row r="5">
      <x:c r="A5" s="22" t="str">
        <x:v>S01|4</x:v>
      </x:c>
      <x:c r="B5" s="37" t="str">
        <x:v>S01</x:v>
      </x:c>
      <x:c r="C5" s="41" t="str">
        <x:v>질투하는 모습</x:v>
      </x:c>
      <x:c r="D5" s="41" t="str">
        <x:v>상대가 전혀 질투하지 않는다면 나는 주로 어떻게 행동할까요?</x:v>
      </x:c>
      <x:c r="E5" s="41" t="n">
        <x:v>4</x:v>
      </x:c>
      <x:c r="F5" s="41" t="str">
        <x:v>내가 더 매력적이고 유능한 사람이 되려고 애쓴다.</x:v>
      </x:c>
      <x:c r="G5" s="37" t="str">
        <x:v>overcompensation</x:v>
      </x:c>
      <x:c r="H5" s="49" t="str">
        <x:v>과잉보상·증명</x:v>
      </x:c>
      <x:c r="I5" s="37" t="n">
        <x:v>4</x:v>
      </x:c>
      <x:c r="J5" s="23" t="str">
        <x:v>전략의 단점 제시</x:v>
      </x:c>
    </x:row>
    <x:row r="6">
      <x:c r="A6" s="22" t="str">
        <x:v>S01|5</x:v>
      </x:c>
      <x:c r="B6" s="37" t="str">
        <x:v>S01</x:v>
      </x:c>
      <x:c r="C6" s="41" t="str">
        <x:v>질투하는 모습</x:v>
      </x:c>
      <x:c r="D6" s="41" t="str">
        <x:v>상대가 전혀 질투하지 않는다면 나는 주로 어떻게 행동할까요?</x:v>
      </x:c>
      <x:c r="E6" s="41" t="n">
        <x:v>5</x:v>
      </x:c>
      <x:c r="F6" s="41" t="str">
        <x:v>가끔은 나를 특별하게 여긴다는 표현을 듣고 싶다고 솔직히 말한다.</x:v>
      </x:c>
      <x:c r="G6" s="37" t="str">
        <x:v>direct_communication</x:v>
      </x:c>
      <x:c r="H6" s="49" t="str">
        <x:v>직접 표현·협상</x:v>
      </x:c>
      <x:c r="I6" s="37" t="n">
        <x:v>4</x:v>
      </x:c>
      <x:c r="J6" s="23" t="str">
        <x:v>단점 대신 주의점 제시</x:v>
      </x:c>
    </x:row>
    <x:row r="7">
      <x:c r="A7" s="22" t="str">
        <x:v>S02|1</x:v>
      </x:c>
      <x:c r="B7" s="37" t="str">
        <x:v>S02</x:v>
      </x:c>
      <x:c r="C7" s="41" t="str">
        <x:v>아플 때 모든 일을 제쳐두고 오는 모습</x:v>
      </x:c>
      <x:c r="D7" s="41" t="str">
        <x:v>내가 아픈데도 상대가 바로 오지 않는다면 나는 주로 어떻게 행동할까요?</x:v>
      </x:c>
      <x:c r="E7" s="41" t="n">
        <x:v>1</x:v>
      </x:c>
      <x:c r="F7" s="41" t="str">
        <x:v>일부러 상태가 더 심각한 것처럼 말해 상대의 반응을 확인한다.</x:v>
      </x:c>
      <x:c r="G7" s="37" t="str">
        <x:v>protest_control</x:v>
      </x:c>
      <x:c r="H7" s="49" t="str">
        <x:v>반응 유도·통제</x:v>
      </x:c>
      <x:c r="I7" s="37" t="n">
        <x:v>4</x:v>
      </x:c>
      <x:c r="J7" s="23" t="str">
        <x:v>전략의 단점 제시</x:v>
      </x:c>
    </x:row>
    <x:row r="8">
      <x:c r="A8" s="22" t="str">
        <x:v>S02|2</x:v>
      </x:c>
      <x:c r="B8" s="37" t="str">
        <x:v>S02</x:v>
      </x:c>
      <x:c r="C8" s="41" t="str">
        <x:v>아플 때 모든 일을 제쳐두고 오는 모습</x:v>
      </x:c>
      <x:c r="D8" s="41" t="str">
        <x:v>내가 아픈데도 상대가 바로 오지 않는다면 나는 주로 어떻게 행동할까요?</x:v>
      </x:c>
      <x:c r="E8" s="41" t="n">
        <x:v>2</x:v>
      </x:c>
      <x:c r="F8" s="41" t="str">
        <x:v>연락이 올 때까지 계속 휴대전화를 확인한다.</x:v>
      </x:c>
      <x:c r="G8" s="37" t="str">
        <x:v>reassurance_monitoring</x:v>
      </x:c>
      <x:c r="H8" s="49" t="str">
        <x:v>확인·감시</x:v>
      </x:c>
      <x:c r="I8" s="37" t="n">
        <x:v>4</x:v>
      </x:c>
      <x:c r="J8" s="23" t="str">
        <x:v>전략의 단점 제시</x:v>
      </x:c>
    </x:row>
    <x:row r="9">
      <x:c r="A9" s="22" t="str">
        <x:v>S02|3</x:v>
      </x:c>
      <x:c r="B9" s="37" t="str">
        <x:v>S02</x:v>
      </x:c>
      <x:c r="C9" s="41" t="str">
        <x:v>아플 때 모든 일을 제쳐두고 오는 모습</x:v>
      </x:c>
      <x:c r="D9" s="41" t="str">
        <x:v>내가 아픈데도 상대가 바로 오지 않는다면 나는 주로 어떻게 행동할까요?</x:v>
      </x:c>
      <x:c r="E9" s="41" t="n">
        <x:v>3</x:v>
      </x:c>
      <x:c r="F9" s="41" t="str">
        <x:v>다시는 상대에게 힘들다고 말하지 않겠다고 마음먹는다.</x:v>
      </x:c>
      <x:c r="G9" s="37" t="str">
        <x:v>withdrawal_protection</x:v>
      </x:c>
      <x:c r="H9" s="49" t="str">
        <x:v>철수·거리두기</x:v>
      </x:c>
      <x:c r="I9" s="37" t="n">
        <x:v>4</x:v>
      </x:c>
      <x:c r="J9" s="23" t="str">
        <x:v>전략의 단점 제시</x:v>
      </x:c>
    </x:row>
    <x:row r="10">
      <x:c r="A10" s="22" t="str">
        <x:v>S02|4</x:v>
      </x:c>
      <x:c r="B10" s="37" t="str">
        <x:v>S02</x:v>
      </x:c>
      <x:c r="C10" s="41" t="str">
        <x:v>아플 때 모든 일을 제쳐두고 오는 모습</x:v>
      </x:c>
      <x:c r="D10" s="41" t="str">
        <x:v>내가 아픈데도 상대가 바로 오지 않는다면 나는 주로 어떻게 행동할까요?</x:v>
      </x:c>
      <x:c r="E10" s="41" t="n">
        <x:v>4</x:v>
      </x:c>
      <x:c r="F10" s="41" t="str">
        <x:v>아픈데도 괜찮은 척하며 모든 일을 혼자 처리한다.</x:v>
      </x:c>
      <x:c r="G10" s="37" t="str">
        <x:v>overcompensation</x:v>
      </x:c>
      <x:c r="H10" s="49" t="str">
        <x:v>과잉보상·증명</x:v>
      </x:c>
      <x:c r="I10" s="37" t="n">
        <x:v>4</x:v>
      </x:c>
      <x:c r="J10" s="23" t="str">
        <x:v>전략의 단점 제시</x:v>
      </x:c>
    </x:row>
    <x:row r="11">
      <x:c r="A11" s="22" t="str">
        <x:v>S02|5</x:v>
      </x:c>
      <x:c r="B11" s="37" t="str">
        <x:v>S02</x:v>
      </x:c>
      <x:c r="C11" s="41" t="str">
        <x:v>아플 때 모든 일을 제쳐두고 오는 모습</x:v>
      </x:c>
      <x:c r="D11" s="41" t="str">
        <x:v>내가 아픈데도 상대가 바로 오지 않는다면 나는 주로 어떻게 행동할까요?</x:v>
      </x:c>
      <x:c r="E11" s="41" t="n">
        <x:v>5</x:v>
      </x:c>
      <x:c r="F11" s="41" t="str">
        <x:v>지금 필요한 도움이 무엇인지 구체적으로 말하고 가능한 방법을 함께 찾는다.</x:v>
      </x:c>
      <x:c r="G11" s="37" t="str">
        <x:v>direct_communication</x:v>
      </x:c>
      <x:c r="H11" s="49" t="str">
        <x:v>직접 표현·협상</x:v>
      </x:c>
      <x:c r="I11" s="37" t="n">
        <x:v>4</x:v>
      </x:c>
      <x:c r="J11" s="23" t="str">
        <x:v>단점 대신 주의점 제시</x:v>
      </x:c>
    </x:row>
    <x:row r="12">
      <x:c r="A12" s="22" t="str">
        <x:v>S03|1</x:v>
      </x:c>
      <x:c r="B12" s="37" t="str">
        <x:v>S03</x:v>
      </x:c>
      <x:c r="C12" s="41" t="str">
        <x:v>사람들 앞에서 나를 자랑하는 모습</x:v>
      </x:c>
      <x:c r="D12" s="41" t="str">
        <x:v>상대가 사람들 앞에서 나를 자랑하지 않는다면 나는 주로 어떻게 행동할까요?</x:v>
      </x:c>
      <x:c r="E12" s="41" t="n">
        <x:v>1</x:v>
      </x:c>
      <x:c r="F12" s="41" t="str">
        <x:v>다른 사람들이 보는 앞에서 내 성과나 장점을 과장해 이야기한다.</x:v>
      </x:c>
      <x:c r="G12" s="37" t="str">
        <x:v>protest_control</x:v>
      </x:c>
      <x:c r="H12" s="49" t="str">
        <x:v>반응 유도·통제</x:v>
      </x:c>
      <x:c r="I12" s="37" t="n">
        <x:v>4</x:v>
      </x:c>
      <x:c r="J12" s="23" t="str">
        <x:v>전략의 단점 제시</x:v>
      </x:c>
    </x:row>
    <x:row r="13">
      <x:c r="A13" s="22" t="str">
        <x:v>S03|2</x:v>
      </x:c>
      <x:c r="B13" s="37" t="str">
        <x:v>S03</x:v>
      </x:c>
      <x:c r="C13" s="41" t="str">
        <x:v>사람들 앞에서 나를 자랑하는 모습</x:v>
      </x:c>
      <x:c r="D13" s="41" t="str">
        <x:v>상대가 사람들 앞에서 나를 자랑하지 않는다면 나는 주로 어떻게 행동할까요?</x:v>
      </x:c>
      <x:c r="E13" s="41" t="n">
        <x:v>2</x:v>
      </x:c>
      <x:c r="F13" s="41" t="str">
        <x:v>상대가 다른 사람을 칭찬할 때 나와 비교하며 반응을 살핀다.</x:v>
      </x:c>
      <x:c r="G13" s="37" t="str">
        <x:v>reassurance_monitoring</x:v>
      </x:c>
      <x:c r="H13" s="49" t="str">
        <x:v>확인·감시</x:v>
      </x:c>
      <x:c r="I13" s="37" t="n">
        <x:v>4</x:v>
      </x:c>
      <x:c r="J13" s="23" t="str">
        <x:v>전략의 단점 제시</x:v>
      </x:c>
    </x:row>
    <x:row r="14">
      <x:c r="A14" s="22" t="str">
        <x:v>S03|3</x:v>
      </x:c>
      <x:c r="B14" s="37" t="str">
        <x:v>S03</x:v>
      </x:c>
      <x:c r="C14" s="41" t="str">
        <x:v>사람들 앞에서 나를 자랑하는 모습</x:v>
      </x:c>
      <x:c r="D14" s="41" t="str">
        <x:v>상대가 사람들 앞에서 나를 자랑하지 않는다면 나는 주로 어떻게 행동할까요?</x:v>
      </x:c>
      <x:c r="E14" s="41" t="n">
        <x:v>3</x:v>
      </x:c>
      <x:c r="F14" s="41" t="str">
        <x:v>상대의 지인들과 만나는 자리를 점점 피한다.</x:v>
      </x:c>
      <x:c r="G14" s="37" t="str">
        <x:v>withdrawal_protection</x:v>
      </x:c>
      <x:c r="H14" s="49" t="str">
        <x:v>철수·거리두기</x:v>
      </x:c>
      <x:c r="I14" s="37" t="n">
        <x:v>4</x:v>
      </x:c>
      <x:c r="J14" s="23" t="str">
        <x:v>전략의 단점 제시</x:v>
      </x:c>
    </x:row>
    <x:row r="15">
      <x:c r="A15" s="22" t="str">
        <x:v>S03|4</x:v>
      </x:c>
      <x:c r="B15" s="37" t="str">
        <x:v>S03</x:v>
      </x:c>
      <x:c r="C15" s="41" t="str">
        <x:v>사람들 앞에서 나를 자랑하는 모습</x:v>
      </x:c>
      <x:c r="D15" s="41" t="str">
        <x:v>상대가 사람들 앞에서 나를 자랑하지 않는다면 나는 주로 어떻게 행동할까요?</x:v>
      </x:c>
      <x:c r="E15" s="41" t="n">
        <x:v>4</x:v>
      </x:c>
      <x:c r="F15" s="41" t="str">
        <x:v>상대에게 인정받기 위해 더 많은 성과를 내려고 애쓴다.</x:v>
      </x:c>
      <x:c r="G15" s="37" t="str">
        <x:v>overcompensation</x:v>
      </x:c>
      <x:c r="H15" s="49" t="str">
        <x:v>과잉보상·증명</x:v>
      </x:c>
      <x:c r="I15" s="37" t="n">
        <x:v>4</x:v>
      </x:c>
      <x:c r="J15" s="23" t="str">
        <x:v>전략의 단점 제시</x:v>
      </x:c>
    </x:row>
    <x:row r="16">
      <x:c r="A16" s="22" t="str">
        <x:v>S03|5</x:v>
      </x:c>
      <x:c r="B16" s="37" t="str">
        <x:v>S03</x:v>
      </x:c>
      <x:c r="C16" s="41" t="str">
        <x:v>사람들 앞에서 나를 자랑하는 모습</x:v>
      </x:c>
      <x:c r="D16" s="41" t="str">
        <x:v>상대가 사람들 앞에서 나를 자랑하지 않는다면 나는 주로 어떻게 행동할까요?</x:v>
      </x:c>
      <x:c r="E16" s="41" t="n">
        <x:v>5</x:v>
      </x:c>
      <x:c r="F16" s="41" t="str">
        <x:v>공개적인 자리에서도 가끔은 나를 긍정적으로 소개해주면 좋겠다고 말한다.</x:v>
      </x:c>
      <x:c r="G16" s="37" t="str">
        <x:v>direct_communication</x:v>
      </x:c>
      <x:c r="H16" s="49" t="str">
        <x:v>직접 표현·협상</x:v>
      </x:c>
      <x:c r="I16" s="37" t="n">
        <x:v>4</x:v>
      </x:c>
      <x:c r="J16" s="23" t="str">
        <x:v>단점 대신 주의점 제시</x:v>
      </x:c>
    </x:row>
    <x:row r="17">
      <x:c r="A17" s="22" t="str">
        <x:v>S04|1</x:v>
      </x:c>
      <x:c r="B17" s="37" t="str">
        <x:v>S04</x:v>
      </x:c>
      <x:c r="C17" s="41" t="str">
        <x:v>싸운 뒤 먼저 화해를 시도하는 모습</x:v>
      </x:c>
      <x:c r="D17" s="41" t="str">
        <x:v>싸운 뒤 상대가 먼저 화해를 시도하지 않는다면 나는 주로 어떻게 행동할까요?</x:v>
      </x:c>
      <x:c r="E17" s="41" t="n">
        <x:v>1</x:v>
      </x:c>
      <x:c r="F17" s="41" t="str">
        <x:v>상대가 먼저 연락할 때까지 나도 절대 연락하지 않는다.</x:v>
      </x:c>
      <x:c r="G17" s="37" t="str">
        <x:v>protest_control</x:v>
      </x:c>
      <x:c r="H17" s="49" t="str">
        <x:v>반응 유도·통제</x:v>
      </x:c>
      <x:c r="I17" s="37" t="n">
        <x:v>4</x:v>
      </x:c>
      <x:c r="J17" s="23" t="str">
        <x:v>전략의 단점 제시</x:v>
      </x:c>
    </x:row>
    <x:row r="18">
      <x:c r="A18" s="22" t="str">
        <x:v>S04|2</x:v>
      </x:c>
      <x:c r="B18" s="37" t="str">
        <x:v>S04</x:v>
      </x:c>
      <x:c r="C18" s="41" t="str">
        <x:v>싸운 뒤 먼저 화해를 시도하는 모습</x:v>
      </x:c>
      <x:c r="D18" s="41" t="str">
        <x:v>싸운 뒤 상대가 먼저 화해를 시도하지 않는다면 나는 주로 어떻게 행동할까요?</x:v>
      </x:c>
      <x:c r="E18" s="41" t="n">
        <x:v>2</x:v>
      </x:c>
      <x:c r="F18" s="41" t="str">
        <x:v>SNS나 접속 기록을 확인하며 상대의 마음이 식었는지 살핀다.</x:v>
      </x:c>
      <x:c r="G18" s="37" t="str">
        <x:v>reassurance_monitoring</x:v>
      </x:c>
      <x:c r="H18" s="49" t="str">
        <x:v>확인·감시</x:v>
      </x:c>
      <x:c r="I18" s="37" t="n">
        <x:v>4</x:v>
      </x:c>
      <x:c r="J18" s="23" t="str">
        <x:v>전략의 단점 제시</x:v>
      </x:c>
    </x:row>
    <x:row r="19">
      <x:c r="A19" s="22" t="str">
        <x:v>S04|3</x:v>
      </x:c>
      <x:c r="B19" s="37" t="str">
        <x:v>S04</x:v>
      </x:c>
      <x:c r="C19" s="41" t="str">
        <x:v>싸운 뒤 먼저 화해를 시도하는 모습</x:v>
      </x:c>
      <x:c r="D19" s="41" t="str">
        <x:v>싸운 뒤 상대가 먼저 화해를 시도하지 않는다면 나는 주로 어떻게 행동할까요?</x:v>
      </x:c>
      <x:c r="E19" s="41" t="n">
        <x:v>3</x:v>
      </x:c>
      <x:c r="F19" s="41" t="str">
        <x:v>겉으로는 괜찮은 척하면서 혼자 이별을 준비한다.</x:v>
      </x:c>
      <x:c r="G19" s="37" t="str">
        <x:v>withdrawal_protection</x:v>
      </x:c>
      <x:c r="H19" s="49" t="str">
        <x:v>철수·거리두기</x:v>
      </x:c>
      <x:c r="I19" s="37" t="n">
        <x:v>4</x:v>
      </x:c>
      <x:c r="J19" s="23" t="str">
        <x:v>전략의 단점 제시</x:v>
      </x:c>
    </x:row>
    <x:row r="20">
      <x:c r="A20" s="22" t="str">
        <x:v>S04|4</x:v>
      </x:c>
      <x:c r="B20" s="37" t="str">
        <x:v>S04</x:v>
      </x:c>
      <x:c r="C20" s="41" t="str">
        <x:v>싸운 뒤 먼저 화해를 시도하는 모습</x:v>
      </x:c>
      <x:c r="D20" s="41" t="str">
        <x:v>싸운 뒤 상대가 먼저 화해를 시도하지 않는다면 나는 주로 어떻게 행동할까요?</x:v>
      </x:c>
      <x:c r="E20" s="41" t="n">
        <x:v>4</x:v>
      </x:c>
      <x:c r="F20" s="41" t="str">
        <x:v>상대의 잘못을 정리하며 내가 먼저 연락하지 않아도 될 이유를 찾는다.</x:v>
      </x:c>
      <x:c r="G20" s="37" t="str">
        <x:v>overcompensation</x:v>
      </x:c>
      <x:c r="H20" s="49" t="str">
        <x:v>과잉보상·증명</x:v>
      </x:c>
      <x:c r="I20" s="37" t="n">
        <x:v>4</x:v>
      </x:c>
      <x:c r="J20" s="23" t="str">
        <x:v>전략의 단점 제시</x:v>
      </x:c>
    </x:row>
    <x:row r="21">
      <x:c r="A21" s="22" t="str">
        <x:v>S04|5</x:v>
      </x:c>
      <x:c r="B21" s="37" t="str">
        <x:v>S04</x:v>
      </x:c>
      <x:c r="C21" s="41" t="str">
        <x:v>싸운 뒤 먼저 화해를 시도하는 모습</x:v>
      </x:c>
      <x:c r="D21" s="41" t="str">
        <x:v>싸운 뒤 상대가 먼저 화해를 시도하지 않는다면 나는 주로 어떻게 행동할까요?</x:v>
      </x:c>
      <x:c r="E21" s="41" t="n">
        <x:v>5</x:v>
      </x:c>
      <x:c r="F21" s="41" t="str">
        <x:v>감정이 정리된 뒤 먼저 대화를 제안하고, 갈등 해결 방식을 함께 정한다.</x:v>
      </x:c>
      <x:c r="G21" s="37" t="str">
        <x:v>direct_communication</x:v>
      </x:c>
      <x:c r="H21" s="49" t="str">
        <x:v>직접 표현·협상</x:v>
      </x:c>
      <x:c r="I21" s="37" t="n">
        <x:v>4</x:v>
      </x:c>
      <x:c r="J21" s="23" t="str">
        <x:v>단점 대신 주의점 제시</x:v>
      </x:c>
    </x:row>
    <x:row r="22">
      <x:c r="A22" s="22" t="str">
        <x:v>S05|1</x:v>
      </x:c>
      <x:c r="B22" s="37" t="str">
        <x:v>S05</x:v>
      </x:c>
      <x:c r="C22" s="41" t="str">
        <x:v>내 결정을 믿고 기다려주는 모습</x:v>
      </x:c>
      <x:c r="D22" s="41" t="str">
        <x:v>상대가 내 결정을 믿고 기다려주지 않는다면 나는 주로 어떻게 행동할까요?</x:v>
      </x:c>
      <x:c r="E22" s="41" t="n">
        <x:v>1</x:v>
      </x:c>
      <x:c r="F22" s="41" t="str">
        <x:v>상대의 의견과 반대로 결정하고 싶어진다.</x:v>
      </x:c>
      <x:c r="G22" s="37" t="str">
        <x:v>protest_control</x:v>
      </x:c>
      <x:c r="H22" s="49" t="str">
        <x:v>반응 유도·통제</x:v>
      </x:c>
      <x:c r="I22" s="37" t="n">
        <x:v>4</x:v>
      </x:c>
      <x:c r="J22" s="23" t="str">
        <x:v>전략의 단점 제시</x:v>
      </x:c>
    </x:row>
    <x:row r="23">
      <x:c r="A23" s="22" t="str">
        <x:v>S05|2</x:v>
      </x:c>
      <x:c r="B23" s="37" t="str">
        <x:v>S05</x:v>
      </x:c>
      <x:c r="C23" s="41" t="str">
        <x:v>내 결정을 믿고 기다려주는 모습</x:v>
      </x:c>
      <x:c r="D23" s="41" t="str">
        <x:v>상대가 내 결정을 믿고 기다려주지 않는다면 나는 주로 어떻게 행동할까요?</x:v>
      </x:c>
      <x:c r="E23" s="41" t="n">
        <x:v>2</x:v>
      </x:c>
      <x:c r="F23" s="41" t="str">
        <x:v>결정을 내리기 전 계속 상대의 반응과 허락을 확인한다.</x:v>
      </x:c>
      <x:c r="G23" s="37" t="str">
        <x:v>reassurance_monitoring</x:v>
      </x:c>
      <x:c r="H23" s="49" t="str">
        <x:v>확인·감시</x:v>
      </x:c>
      <x:c r="I23" s="37" t="n">
        <x:v>4</x:v>
      </x:c>
      <x:c r="J23" s="23" t="str">
        <x:v>전략의 단점 제시</x:v>
      </x:c>
    </x:row>
    <x:row r="24">
      <x:c r="A24" s="22" t="str">
        <x:v>S05|3</x:v>
      </x:c>
      <x:c r="B24" s="37" t="str">
        <x:v>S05</x:v>
      </x:c>
      <x:c r="C24" s="41" t="str">
        <x:v>내 결정을 믿고 기다려주는 모습</x:v>
      </x:c>
      <x:c r="D24" s="41" t="str">
        <x:v>상대가 내 결정을 믿고 기다려주지 않는다면 나는 주로 어떻게 행동할까요?</x:v>
      </x:c>
      <x:c r="E24" s="41" t="n">
        <x:v>3</x:v>
      </x:c>
      <x:c r="F24" s="41" t="str">
        <x:v>갈등을 피하려고 내 생각을 숨기고 상대의 의견을 따른다.</x:v>
      </x:c>
      <x:c r="G24" s="37" t="str">
        <x:v>withdrawal_protection</x:v>
      </x:c>
      <x:c r="H24" s="49" t="str">
        <x:v>철수·거리두기</x:v>
      </x:c>
      <x:c r="I24" s="37" t="n">
        <x:v>4</x:v>
      </x:c>
      <x:c r="J24" s="23" t="str">
        <x:v>전략의 단점 제시</x:v>
      </x:c>
    </x:row>
    <x:row r="25">
      <x:c r="A25" s="22" t="str">
        <x:v>S05|4</x:v>
      </x:c>
      <x:c r="B25" s="37" t="str">
        <x:v>S05</x:v>
      </x:c>
      <x:c r="C25" s="41" t="str">
        <x:v>내 결정을 믿고 기다려주는 모습</x:v>
      </x:c>
      <x:c r="D25" s="41" t="str">
        <x:v>상대가 내 결정을 믿고 기다려주지 않는다면 나는 주로 어떻게 행동할까요?</x:v>
      </x:c>
      <x:c r="E25" s="41" t="n">
        <x:v>4</x:v>
      </x:c>
      <x:c r="F25" s="41" t="str">
        <x:v>반드시 성공해 내가 옳았다는 것을 증명하려고 한다.</x:v>
      </x:c>
      <x:c r="G25" s="37" t="str">
        <x:v>overcompensation</x:v>
      </x:c>
      <x:c r="H25" s="49" t="str">
        <x:v>과잉보상·증명</x:v>
      </x:c>
      <x:c r="I25" s="37" t="n">
        <x:v>4</x:v>
      </x:c>
      <x:c r="J25" s="23" t="str">
        <x:v>전략의 단점 제시</x:v>
      </x:c>
    </x:row>
    <x:row r="26">
      <x:c r="A26" s="22" t="str">
        <x:v>S05|5</x:v>
      </x:c>
      <x:c r="B26" s="37" t="str">
        <x:v>S05</x:v>
      </x:c>
      <x:c r="C26" s="41" t="str">
        <x:v>내 결정을 믿고 기다려주는 모습</x:v>
      </x:c>
      <x:c r="D26" s="41" t="str">
        <x:v>상대가 내 결정을 믿고 기다려주지 않는다면 나는 주로 어떻게 행동할까요?</x:v>
      </x:c>
      <x:c r="E26" s="41" t="n">
        <x:v>5</x:v>
      </x:c>
      <x:c r="F26" s="41" t="str">
        <x:v>조언은 듣고 싶지만 결정할 시간과 최종 선택권은 존중해달라고 말한다.</x:v>
      </x:c>
      <x:c r="G26" s="37" t="str">
        <x:v>direct_communication</x:v>
      </x:c>
      <x:c r="H26" s="49" t="str">
        <x:v>직접 표현·협상</x:v>
      </x:c>
      <x:c r="I26" s="37" t="n">
        <x:v>4</x:v>
      </x:c>
      <x:c r="J26" s="23" t="str">
        <x:v>단점 대신 주의점 제시</x:v>
      </x:c>
    </x:row>
    <x:row r="27">
      <x:c r="A27" s="22" t="str">
        <x:v>S06|1</x:v>
      </x:c>
      <x:c r="B27" s="37" t="str">
        <x:v>S06</x:v>
      </x:c>
      <x:c r="C27" s="41" t="str">
        <x:v>중요한 선택을 나와 상의하는 모습</x:v>
      </x:c>
      <x:c r="D27" s="41" t="str">
        <x:v>상대가 중요한 선택을 나와 상의하지 않는다면 나는 주로 어떻게 행동할까요?</x:v>
      </x:c>
      <x:c r="E27" s="41" t="n">
        <x:v>1</x:v>
      </x:c>
      <x:c r="F27" s="41" t="str">
        <x:v>나도 중요한 일을 일부러 알리지 않고 결정한다.</x:v>
      </x:c>
      <x:c r="G27" s="37" t="str">
        <x:v>protest_control</x:v>
      </x:c>
      <x:c r="H27" s="49" t="str">
        <x:v>반응 유도·통제</x:v>
      </x:c>
      <x:c r="I27" s="37" t="n">
        <x:v>4</x:v>
      </x:c>
      <x:c r="J27" s="23" t="str">
        <x:v>전략의 단점 제시</x:v>
      </x:c>
    </x:row>
    <x:row r="28">
      <x:c r="A28" s="22" t="str">
        <x:v>S06|2</x:v>
      </x:c>
      <x:c r="B28" s="37" t="str">
        <x:v>S06</x:v>
      </x:c>
      <x:c r="C28" s="41" t="str">
        <x:v>중요한 선택을 나와 상의하는 모습</x:v>
      </x:c>
      <x:c r="D28" s="41" t="str">
        <x:v>상대가 중요한 선택을 나와 상의하지 않는다면 나는 주로 어떻게 행동할까요?</x:v>
      </x:c>
      <x:c r="E28" s="41" t="n">
        <x:v>2</x:v>
      </x:c>
      <x:c r="F28" s="41" t="str">
        <x:v>상대가 무엇을 숨기고 있는지 계속 질문하고 확인한다.</x:v>
      </x:c>
      <x:c r="G28" s="37" t="str">
        <x:v>reassurance_monitoring</x:v>
      </x:c>
      <x:c r="H28" s="49" t="str">
        <x:v>확인·감시</x:v>
      </x:c>
      <x:c r="I28" s="37" t="n">
        <x:v>4</x:v>
      </x:c>
      <x:c r="J28" s="23" t="str">
        <x:v>전략의 단점 제시</x:v>
      </x:c>
    </x:row>
    <x:row r="29">
      <x:c r="A29" s="22" t="str">
        <x:v>S06|3</x:v>
      </x:c>
      <x:c r="B29" s="37" t="str">
        <x:v>S06</x:v>
      </x:c>
      <x:c r="C29" s="41" t="str">
        <x:v>중요한 선택을 나와 상의하는 모습</x:v>
      </x:c>
      <x:c r="D29" s="41" t="str">
        <x:v>상대가 중요한 선택을 나와 상의하지 않는다면 나는 주로 어떻게 행동할까요?</x:v>
      </x:c>
      <x:c r="E29" s="41" t="n">
        <x:v>3</x:v>
      </x:c>
      <x:c r="F29" s="41" t="str">
        <x:v>더는 상대의 삶에 관여하지 않겠다며 정서적으로 거리를 둔다.</x:v>
      </x:c>
      <x:c r="G29" s="37" t="str">
        <x:v>withdrawal_protection</x:v>
      </x:c>
      <x:c r="H29" s="49" t="str">
        <x:v>철수·거리두기</x:v>
      </x:c>
      <x:c r="I29" s="37" t="n">
        <x:v>4</x:v>
      </x:c>
      <x:c r="J29" s="23" t="str">
        <x:v>전략의 단점 제시</x:v>
      </x:c>
    </x:row>
    <x:row r="30">
      <x:c r="A30" s="22" t="str">
        <x:v>S06|4</x:v>
      </x:c>
      <x:c r="B30" s="37" t="str">
        <x:v>S06</x:v>
      </x:c>
      <x:c r="C30" s="41" t="str">
        <x:v>중요한 선택을 나와 상의하는 모습</x:v>
      </x:c>
      <x:c r="D30" s="41" t="str">
        <x:v>상대가 중요한 선택을 나와 상의하지 않는다면 나는 주로 어떻게 행동할까요?</x:v>
      </x:c>
      <x:c r="E30" s="41" t="n">
        <x:v>4</x:v>
      </x:c>
      <x:c r="F30" s="41" t="str">
        <x:v>다음부터는 반드시 내 의견을 따르게 하려고 더 강하게 개입한다.</x:v>
      </x:c>
      <x:c r="G30" s="37" t="str">
        <x:v>overcompensation</x:v>
      </x:c>
      <x:c r="H30" s="49" t="str">
        <x:v>과잉보상·증명</x:v>
      </x:c>
      <x:c r="I30" s="37" t="n">
        <x:v>4</x:v>
      </x:c>
      <x:c r="J30" s="23" t="str">
        <x:v>전략의 단점 제시</x:v>
      </x:c>
    </x:row>
    <x:row r="31">
      <x:c r="A31" s="22" t="str">
        <x:v>S06|5</x:v>
      </x:c>
      <x:c r="B31" s="37" t="str">
        <x:v>S06</x:v>
      </x:c>
      <x:c r="C31" s="41" t="str">
        <x:v>중요한 선택을 나와 상의하는 모습</x:v>
      </x:c>
      <x:c r="D31" s="41" t="str">
        <x:v>상대가 중요한 선택을 나와 상의하지 않는다면 나는 주로 어떻게 행동할까요?</x:v>
      </x:c>
      <x:c r="E31" s="41" t="n">
        <x:v>5</x:v>
      </x:c>
      <x:c r="F31" s="41" t="str">
        <x:v>결정 자체보다 공유되지 않은 과정에서 소외감을 느꼈다고 설명한다.</x:v>
      </x:c>
      <x:c r="G31" s="37" t="str">
        <x:v>direct_communication</x:v>
      </x:c>
      <x:c r="H31" s="49" t="str">
        <x:v>직접 표현·협상</x:v>
      </x:c>
      <x:c r="I31" s="37" t="n">
        <x:v>4</x:v>
      </x:c>
      <x:c r="J31" s="23" t="str">
        <x:v>단점 대신 주의점 제시</x:v>
      </x:c>
    </x:row>
    <x:row r="32">
      <x:c r="A32" s="22" t="str">
        <x:v>S07|1</x:v>
      </x:c>
      <x:c r="B32" s="37" t="str">
        <x:v>S07</x:v>
      </x:c>
      <x:c r="C32" s="41" t="str">
        <x:v>나에게만 약한 모습을 보이는 모습</x:v>
      </x:c>
      <x:c r="D32" s="41" t="str">
        <x:v>상대가 나에게 약한 모습을 보이지 않는다면 나는 주로 어떻게 행동할까요?</x:v>
      </x:c>
      <x:c r="E32" s="41" t="n">
        <x:v>1</x:v>
      </x:c>
      <x:c r="F32" s="41" t="str">
        <x:v>상대가 감정을 털어놓을 때까지 계속 질문한다.</x:v>
      </x:c>
      <x:c r="G32" s="37" t="str">
        <x:v>protest_control</x:v>
      </x:c>
      <x:c r="H32" s="49" t="str">
        <x:v>반응 유도·통제</x:v>
      </x:c>
      <x:c r="I32" s="37" t="n">
        <x:v>4</x:v>
      </x:c>
      <x:c r="J32" s="23" t="str">
        <x:v>전략의 단점 제시</x:v>
      </x:c>
    </x:row>
    <x:row r="33">
      <x:c r="A33" s="22" t="str">
        <x:v>S07|2</x:v>
      </x:c>
      <x:c r="B33" s="37" t="str">
        <x:v>S07</x:v>
      </x:c>
      <x:c r="C33" s="41" t="str">
        <x:v>나에게만 약한 모습을 보이는 모습</x:v>
      </x:c>
      <x:c r="D33" s="41" t="str">
        <x:v>상대가 나에게 약한 모습을 보이지 않는다면 나는 주로 어떻게 행동할까요?</x:v>
      </x:c>
      <x:c r="E33" s="41" t="n">
        <x:v>2</x:v>
      </x:c>
      <x:c r="F33" s="41" t="str">
        <x:v>말투와 행동을 세세히 관찰하며 숨기는 문제가 있는지 확인한다.</x:v>
      </x:c>
      <x:c r="G33" s="37" t="str">
        <x:v>reassurance_monitoring</x:v>
      </x:c>
      <x:c r="H33" s="49" t="str">
        <x:v>확인·감시</x:v>
      </x:c>
      <x:c r="I33" s="37" t="n">
        <x:v>4</x:v>
      </x:c>
      <x:c r="J33" s="23" t="str">
        <x:v>전략의 단점 제시</x:v>
      </x:c>
    </x:row>
    <x:row r="34">
      <x:c r="A34" s="22" t="str">
        <x:v>S07|3</x:v>
      </x:c>
      <x:c r="B34" s="37" t="str">
        <x:v>S07</x:v>
      </x:c>
      <x:c r="C34" s="41" t="str">
        <x:v>나에게만 약한 모습을 보이는 모습</x:v>
      </x:c>
      <x:c r="D34" s="41" t="str">
        <x:v>상대가 나에게 약한 모습을 보이지 않는다면 나는 주로 어떻게 행동할까요?</x:v>
      </x:c>
      <x:c r="E34" s="41" t="n">
        <x:v>3</x:v>
      </x:c>
      <x:c r="F34" s="41" t="str">
        <x:v>나도 내 약한 모습을 보여주지 않고 관계에서 한발 물러난다.</x:v>
      </x:c>
      <x:c r="G34" s="37" t="str">
        <x:v>withdrawal_protection</x:v>
      </x:c>
      <x:c r="H34" s="49" t="str">
        <x:v>철수·거리두기</x:v>
      </x:c>
      <x:c r="I34" s="37" t="n">
        <x:v>4</x:v>
      </x:c>
      <x:c r="J34" s="23" t="str">
        <x:v>전략의 단점 제시</x:v>
      </x:c>
    </x:row>
    <x:row r="35">
      <x:c r="A35" s="22" t="str">
        <x:v>S07|4</x:v>
      </x:c>
      <x:c r="B35" s="37" t="str">
        <x:v>S07</x:v>
      </x:c>
      <x:c r="C35" s="41" t="str">
        <x:v>나에게만 약한 모습을 보이는 모습</x:v>
      </x:c>
      <x:c r="D35" s="41" t="str">
        <x:v>상대가 나에게 약한 모습을 보이지 않는다면 나는 주로 어떻게 행동할까요?</x:v>
      </x:c>
      <x:c r="E35" s="41" t="n">
        <x:v>4</x:v>
      </x:c>
      <x:c r="F35" s="41" t="str">
        <x:v>상대에게 필요해지기 위해 문제를 대신 해결하려고 한다.</x:v>
      </x:c>
      <x:c r="G35" s="37" t="str">
        <x:v>overcompensation</x:v>
      </x:c>
      <x:c r="H35" s="49" t="str">
        <x:v>과잉보상·증명</x:v>
      </x:c>
      <x:c r="I35" s="37" t="n">
        <x:v>4</x:v>
      </x:c>
      <x:c r="J35" s="23" t="str">
        <x:v>전략의 단점 제시</x:v>
      </x:c>
    </x:row>
    <x:row r="36">
      <x:c r="A36" s="22" t="str">
        <x:v>S07|5</x:v>
      </x:c>
      <x:c r="B36" s="37" t="str">
        <x:v>S07</x:v>
      </x:c>
      <x:c r="C36" s="41" t="str">
        <x:v>나에게만 약한 모습을 보이는 모습</x:v>
      </x:c>
      <x:c r="D36" s="41" t="str">
        <x:v>상대가 나에게 약한 모습을 보이지 않는다면 나는 주로 어떻게 행동할까요?</x:v>
      </x:c>
      <x:c r="E36" s="41" t="n">
        <x:v>5</x:v>
      </x:c>
      <x:c r="F36" s="41" t="str">
        <x:v>말하고 싶을 때 들어줄 준비가 되어 있다고 알리고 기다린다.</x:v>
      </x:c>
      <x:c r="G36" s="37" t="str">
        <x:v>direct_communication</x:v>
      </x:c>
      <x:c r="H36" s="49" t="str">
        <x:v>직접 표현·협상</x:v>
      </x:c>
      <x:c r="I36" s="37" t="n">
        <x:v>4</x:v>
      </x:c>
      <x:c r="J36" s="23" t="str">
        <x:v>단점 대신 주의점 제시</x:v>
      </x:c>
    </x:row>
    <x:row r="37">
      <x:c r="A37" s="22" t="str">
        <x:v>S08|1</x:v>
      </x:c>
      <x:c r="B37" s="37" t="str">
        <x:v>S08</x:v>
      </x:c>
      <x:c r="C37" s="41" t="str">
        <x:v>매일 사소한 일을 공유하는 모습</x:v>
      </x:c>
      <x:c r="D37" s="41" t="str">
        <x:v>상대가 사소한 일을 잘 공유하지 않는다면 나는 주로 어떻게 행동할까요?</x:v>
      </x:c>
      <x:c r="E37" s="41" t="n">
        <x:v>1</x:v>
      </x:c>
      <x:c r="F37" s="41" t="str">
        <x:v>나도 일부러 내 일상을 알려주지 않는다.</x:v>
      </x:c>
      <x:c r="G37" s="37" t="str">
        <x:v>protest_control</x:v>
      </x:c>
      <x:c r="H37" s="49" t="str">
        <x:v>반응 유도·통제</x:v>
      </x:c>
      <x:c r="I37" s="37" t="n">
        <x:v>4</x:v>
      </x:c>
      <x:c r="J37" s="23" t="str">
        <x:v>전략의 단점 제시</x:v>
      </x:c>
    </x:row>
    <x:row r="38">
      <x:c r="A38" s="22" t="str">
        <x:v>S08|2</x:v>
      </x:c>
      <x:c r="B38" s="37" t="str">
        <x:v>S08</x:v>
      </x:c>
      <x:c r="C38" s="41" t="str">
        <x:v>매일 사소한 일을 공유하는 모습</x:v>
      </x:c>
      <x:c r="D38" s="41" t="str">
        <x:v>상대가 사소한 일을 잘 공유하지 않는다면 나는 주로 어떻게 행동할까요?</x:v>
      </x:c>
      <x:c r="E38" s="41" t="n">
        <x:v>2</x:v>
      </x:c>
      <x:c r="F38" s="41" t="str">
        <x:v>답장 시간이나 온라인 상태를 자주 확인한다.</x:v>
      </x:c>
      <x:c r="G38" s="37" t="str">
        <x:v>reassurance_monitoring</x:v>
      </x:c>
      <x:c r="H38" s="49" t="str">
        <x:v>확인·감시</x:v>
      </x:c>
      <x:c r="I38" s="37" t="n">
        <x:v>4</x:v>
      </x:c>
      <x:c r="J38" s="23" t="str">
        <x:v>전략의 단점 제시</x:v>
      </x:c>
    </x:row>
    <x:row r="39">
      <x:c r="A39" s="22" t="str">
        <x:v>S08|3</x:v>
      </x:c>
      <x:c r="B39" s="37" t="str">
        <x:v>S08</x:v>
      </x:c>
      <x:c r="C39" s="41" t="str">
        <x:v>매일 사소한 일을 공유하는 모습</x:v>
      </x:c>
      <x:c r="D39" s="41" t="str">
        <x:v>상대가 사소한 일을 잘 공유하지 않는다면 나는 주로 어떻게 행동할까요?</x:v>
      </x:c>
      <x:c r="E39" s="41" t="n">
        <x:v>3</x:v>
      </x:c>
      <x:c r="F39" s="41" t="str">
        <x:v>상대에게 기대하지 않기 위해 먼저 연락하는 횟수를 줄인다.</x:v>
      </x:c>
      <x:c r="G39" s="37" t="str">
        <x:v>withdrawal_protection</x:v>
      </x:c>
      <x:c r="H39" s="49" t="str">
        <x:v>철수·거리두기</x:v>
      </x:c>
      <x:c r="I39" s="37" t="n">
        <x:v>4</x:v>
      </x:c>
      <x:c r="J39" s="23" t="str">
        <x:v>전략의 단점 제시</x:v>
      </x:c>
    </x:row>
    <x:row r="40">
      <x:c r="A40" s="22" t="str">
        <x:v>S08|4</x:v>
      </x:c>
      <x:c r="B40" s="37" t="str">
        <x:v>S08</x:v>
      </x:c>
      <x:c r="C40" s="41" t="str">
        <x:v>매일 사소한 일을 공유하는 모습</x:v>
      </x:c>
      <x:c r="D40" s="41" t="str">
        <x:v>상대가 사소한 일을 잘 공유하지 않는다면 나는 주로 어떻게 행동할까요?</x:v>
      </x:c>
      <x:c r="E40" s="41" t="n">
        <x:v>4</x:v>
      </x:c>
      <x:c r="F40" s="41" t="str">
        <x:v>더 재미있고 매력적인 이야기를 만들어 관심을 끌려고 한다.</x:v>
      </x:c>
      <x:c r="G40" s="37" t="str">
        <x:v>overcompensation</x:v>
      </x:c>
      <x:c r="H40" s="49" t="str">
        <x:v>과잉보상·증명</x:v>
      </x:c>
      <x:c r="I40" s="37" t="n">
        <x:v>4</x:v>
      </x:c>
      <x:c r="J40" s="23" t="str">
        <x:v>전략의 단점 제시</x:v>
      </x:c>
    </x:row>
    <x:row r="41">
      <x:c r="A41" s="22" t="str">
        <x:v>S08|5</x:v>
      </x:c>
      <x:c r="B41" s="37" t="str">
        <x:v>S08</x:v>
      </x:c>
      <x:c r="C41" s="41" t="str">
        <x:v>매일 사소한 일을 공유하는 모습</x:v>
      </x:c>
      <x:c r="D41" s="41" t="str">
        <x:v>상대가 사소한 일을 잘 공유하지 않는다면 나는 주로 어떻게 행동할까요?</x:v>
      </x:c>
      <x:c r="E41" s="41" t="n">
        <x:v>5</x:v>
      </x:c>
      <x:c r="F41" s="41" t="str">
        <x:v>일상 공유가 나에게 어떤 의미인지 설명하고 현실적인 연락 방식을 함께 정한다.</x:v>
      </x:c>
      <x:c r="G41" s="37" t="str">
        <x:v>direct_communication</x:v>
      </x:c>
      <x:c r="H41" s="49" t="str">
        <x:v>직접 표현·협상</x:v>
      </x:c>
      <x:c r="I41" s="37" t="n">
        <x:v>4</x:v>
      </x:c>
      <x:c r="J41" s="23" t="str">
        <x:v>단점 대신 주의점 제시</x:v>
      </x:c>
    </x:row>
    <x:row r="42">
      <x:c r="A42" s="22" t="str">
        <x:v>S09|1</x:v>
      </x:c>
      <x:c r="B42" s="37" t="str">
        <x:v>S09</x:v>
      </x:c>
      <x:c r="C42" s="41" t="str">
        <x:v>나 없이는 힘들다고 말하는 모습</x:v>
      </x:c>
      <x:c r="D42" s="41" t="str">
        <x:v>상대가 나를 필요로 한다는 표현을 하지 않는다면 나는 주로 어떻게 행동할까요?</x:v>
      </x:c>
      <x:c r="E42" s="41" t="n">
        <x:v>1</x:v>
      </x:c>
      <x:c r="F42" s="41" t="str">
        <x:v>상대가 혼자 해결할 수 있는 일에도 먼저 나서서 도와준다.</x:v>
      </x:c>
      <x:c r="G42" s="37" t="str">
        <x:v>protest_control</x:v>
      </x:c>
      <x:c r="H42" s="49" t="str">
        <x:v>반응 유도·통제</x:v>
      </x:c>
      <x:c r="I42" s="37" t="n">
        <x:v>4</x:v>
      </x:c>
      <x:c r="J42" s="23" t="str">
        <x:v>전략의 단점 제시</x:v>
      </x:c>
    </x:row>
    <x:row r="43">
      <x:c r="A43" s="22" t="str">
        <x:v>S09|2</x:v>
      </x:c>
      <x:c r="B43" s="37" t="str">
        <x:v>S09</x:v>
      </x:c>
      <x:c r="C43" s="41" t="str">
        <x:v>나 없이는 힘들다고 말하는 모습</x:v>
      </x:c>
      <x:c r="D43" s="41" t="str">
        <x:v>상대가 나를 필요로 한다는 표현을 하지 않는다면 나는 주로 어떻게 행동할까요?</x:v>
      </x:c>
      <x:c r="E43" s="41" t="n">
        <x:v>2</x:v>
      </x:c>
      <x:c r="F43" s="41" t="str">
        <x:v>내가 없을 때 상대가 어떻게 지내는지 계속 확인한다.</x:v>
      </x:c>
      <x:c r="G43" s="37" t="str">
        <x:v>reassurance_monitoring</x:v>
      </x:c>
      <x:c r="H43" s="49" t="str">
        <x:v>확인·감시</x:v>
      </x:c>
      <x:c r="I43" s="37" t="n">
        <x:v>4</x:v>
      </x:c>
      <x:c r="J43" s="23" t="str">
        <x:v>전략의 단점 제시</x:v>
      </x:c>
    </x:row>
    <x:row r="44">
      <x:c r="A44" s="22" t="str">
        <x:v>S09|3</x:v>
      </x:c>
      <x:c r="B44" s="37" t="str">
        <x:v>S09</x:v>
      </x:c>
      <x:c r="C44" s="41" t="str">
        <x:v>나 없이는 힘들다고 말하는 모습</x:v>
      </x:c>
      <x:c r="D44" s="41" t="str">
        <x:v>상대가 나를 필요로 한다는 표현을 하지 않는다면 나는 주로 어떻게 행동할까요?</x:v>
      </x:c>
      <x:c r="E44" s="41" t="n">
        <x:v>3</x:v>
      </x:c>
      <x:c r="F44" s="41" t="str">
        <x:v>필요하지 않은 관계에 머물 이유가 없다며 먼저 거리를 둔다.</x:v>
      </x:c>
      <x:c r="G44" s="37" t="str">
        <x:v>withdrawal_protection</x:v>
      </x:c>
      <x:c r="H44" s="49" t="str">
        <x:v>철수·거리두기</x:v>
      </x:c>
      <x:c r="I44" s="37" t="n">
        <x:v>4</x:v>
      </x:c>
      <x:c r="J44" s="23" t="str">
        <x:v>전략의 단점 제시</x:v>
      </x:c>
    </x:row>
    <x:row r="45">
      <x:c r="A45" s="22" t="str">
        <x:v>S09|4</x:v>
      </x:c>
      <x:c r="B45" s="37" t="str">
        <x:v>S09</x:v>
      </x:c>
      <x:c r="C45" s="41" t="str">
        <x:v>나 없이는 힘들다고 말하는 모습</x:v>
      </x:c>
      <x:c r="D45" s="41" t="str">
        <x:v>상대가 나를 필요로 한다는 표현을 하지 않는다면 나는 주로 어떻게 행동할까요?</x:v>
      </x:c>
      <x:c r="E45" s="41" t="n">
        <x:v>4</x:v>
      </x:c>
      <x:c r="F45" s="41" t="str">
        <x:v>더 유능하고 도움이 되는 사람이 되어야 한다고 자신을 몰아붙인다.</x:v>
      </x:c>
      <x:c r="G45" s="37" t="str">
        <x:v>overcompensation</x:v>
      </x:c>
      <x:c r="H45" s="49" t="str">
        <x:v>과잉보상·증명</x:v>
      </x:c>
      <x:c r="I45" s="37" t="n">
        <x:v>4</x:v>
      </x:c>
      <x:c r="J45" s="23" t="str">
        <x:v>전략의 단점 제시</x:v>
      </x:c>
    </x:row>
    <x:row r="46">
      <x:c r="A46" s="22" t="str">
        <x:v>S09|5</x:v>
      </x:c>
      <x:c r="B46" s="37" t="str">
        <x:v>S09</x:v>
      </x:c>
      <x:c r="C46" s="41" t="str">
        <x:v>나 없이는 힘들다고 말하는 모습</x:v>
      </x:c>
      <x:c r="D46" s="41" t="str">
        <x:v>상대가 나를 필요로 한다는 표현을 하지 않는다면 나는 주로 어떻게 행동할까요?</x:v>
      </x:c>
      <x:c r="E46" s="41" t="n">
        <x:v>5</x:v>
      </x:c>
      <x:c r="F46" s="41" t="str">
        <x:v>도움의 필요 여부와 별개로 애정과 고마움을 표현해주면 좋겠다고 말한다.</x:v>
      </x:c>
      <x:c r="G46" s="37" t="str">
        <x:v>direct_communication</x:v>
      </x:c>
      <x:c r="H46" s="49" t="str">
        <x:v>직접 표현·협상</x:v>
      </x:c>
      <x:c r="I46" s="37" t="n">
        <x:v>4</x:v>
      </x:c>
      <x:c r="J46" s="23" t="str">
        <x:v>단점 대신 주의점 제시</x:v>
      </x:c>
    </x:row>
    <x:row r="47">
      <x:c r="A47" s="22" t="str">
        <x:v>S10|1</x:v>
      </x:c>
      <x:c r="B47" s="37" t="str">
        <x:v>S10</x:v>
      </x:c>
      <x:c r="C47" s="41" t="str">
        <x:v>함께 새로운 도전을 시작하는 모습</x:v>
      </x:c>
      <x:c r="D47" s="41" t="str">
        <x:v>상대가 함께 새로운 도전을 하려 하지 않는다면 나는 주로 어떻게 행동할까요?</x:v>
      </x:c>
      <x:c r="E47" s="41" t="n">
        <x:v>1</x:v>
      </x:c>
      <x:c r="F47" s="41" t="str">
        <x:v>상대가 흥미를 느끼도록 계속 설득하거나 압박한다.</x:v>
      </x:c>
      <x:c r="G47" s="37" t="str">
        <x:v>protest_control</x:v>
      </x:c>
      <x:c r="H47" s="49" t="str">
        <x:v>반응 유도·통제</x:v>
      </x:c>
      <x:c r="I47" s="37" t="n">
        <x:v>4</x:v>
      </x:c>
      <x:c r="J47" s="23" t="str">
        <x:v>전략의 단점 제시</x:v>
      </x:c>
    </x:row>
    <x:row r="48">
      <x:c r="A48" s="22" t="str">
        <x:v>S10|2</x:v>
      </x:c>
      <x:c r="B48" s="37" t="str">
        <x:v>S10</x:v>
      </x:c>
      <x:c r="C48" s="41" t="str">
        <x:v>함께 새로운 도전을 시작하는 모습</x:v>
      </x:c>
      <x:c r="D48" s="41" t="str">
        <x:v>상대가 함께 새로운 도전을 하려 하지 않는다면 나는 주로 어떻게 행동할까요?</x:v>
      </x:c>
      <x:c r="E48" s="41" t="n">
        <x:v>2</x:v>
      </x:c>
      <x:c r="F48" s="41" t="str">
        <x:v>다른 사람과 새로운 경험을 하며 상대의 반응을 살핀다.</x:v>
      </x:c>
      <x:c r="G48" s="37" t="str">
        <x:v>reassurance_monitoring</x:v>
      </x:c>
      <x:c r="H48" s="49" t="str">
        <x:v>확인·감시</x:v>
      </x:c>
      <x:c r="I48" s="37" t="n">
        <x:v>4</x:v>
      </x:c>
      <x:c r="J48" s="23" t="str">
        <x:v>전략의 단점 제시</x:v>
      </x:c>
    </x:row>
    <x:row r="49">
      <x:c r="A49" s="22" t="str">
        <x:v>S10|3</x:v>
      </x:c>
      <x:c r="B49" s="37" t="str">
        <x:v>S10</x:v>
      </x:c>
      <x:c r="C49" s="41" t="str">
        <x:v>함께 새로운 도전을 시작하는 모습</x:v>
      </x:c>
      <x:c r="D49" s="41" t="str">
        <x:v>상대가 함께 새로운 도전을 하려 하지 않는다면 나는 주로 어떻게 행동할까요?</x:v>
      </x:c>
      <x:c r="E49" s="41" t="n">
        <x:v>3</x:v>
      </x:c>
      <x:c r="F49" s="41" t="str">
        <x:v>이 관계에서는 더 성장할 수 없다며 마음을 거두기 시작한다.</x:v>
      </x:c>
      <x:c r="G49" s="37" t="str">
        <x:v>withdrawal_protection</x:v>
      </x:c>
      <x:c r="H49" s="49" t="str">
        <x:v>철수·거리두기</x:v>
      </x:c>
      <x:c r="I49" s="37" t="n">
        <x:v>4</x:v>
      </x:c>
      <x:c r="J49" s="23" t="str">
        <x:v>전략의 단점 제시</x:v>
      </x:c>
    </x:row>
    <x:row r="50">
      <x:c r="A50" s="22" t="str">
        <x:v>S10|4</x:v>
      </x:c>
      <x:c r="B50" s="37" t="str">
        <x:v>S10</x:v>
      </x:c>
      <x:c r="C50" s="41" t="str">
        <x:v>함께 새로운 도전을 시작하는 모습</x:v>
      </x:c>
      <x:c r="D50" s="41" t="str">
        <x:v>상대가 함께 새로운 도전을 하려 하지 않는다면 나는 주로 어떻게 행동할까요?</x:v>
      </x:c>
      <x:c r="E50" s="41" t="n">
        <x:v>4</x:v>
      </x:c>
      <x:c r="F50" s="41" t="str">
        <x:v>상대가 따라오게 만들기 위해 내가 먼저 눈에 띄는 성과를 내려고 한다.</x:v>
      </x:c>
      <x:c r="G50" s="37" t="str">
        <x:v>overcompensation</x:v>
      </x:c>
      <x:c r="H50" s="49" t="str">
        <x:v>과잉보상·증명</x:v>
      </x:c>
      <x:c r="I50" s="37" t="n">
        <x:v>4</x:v>
      </x:c>
      <x:c r="J50" s="23" t="str">
        <x:v>전략의 단점 제시</x:v>
      </x:c>
    </x:row>
    <x:row r="51">
      <x:c r="A51" s="22" t="str">
        <x:v>S10|5</x:v>
      </x:c>
      <x:c r="B51" s="37" t="str">
        <x:v>S10</x:v>
      </x:c>
      <x:c r="C51" s="41" t="str">
        <x:v>함께 새로운 도전을 시작하는 모습</x:v>
      </x:c>
      <x:c r="D51" s="41" t="str">
        <x:v>상대가 함께 새로운 도전을 하려 하지 않는다면 나는 주로 어떻게 행동할까요?</x:v>
      </x:c>
      <x:c r="E51" s="41" t="n">
        <x:v>5</x:v>
      </x:c>
      <x:c r="F51" s="41" t="str">
        <x:v>함께하고 싶은 이유를 설명하고, 공동 활동과 각자 할 활동을 구분한다.</x:v>
      </x:c>
      <x:c r="G51" s="37" t="str">
        <x:v>direct_communication</x:v>
      </x:c>
      <x:c r="H51" s="49" t="str">
        <x:v>직접 표현·협상</x:v>
      </x:c>
      <x:c r="I51" s="37" t="n">
        <x:v>4</x:v>
      </x:c>
      <x:c r="J51" s="23" t="str">
        <x:v>단점 대신 주의점 제시</x:v>
      </x:c>
    </x:row>
    <x:row r="52">
      <x:c r="A52" s="22" t="str">
        <x:v>S11|1</x:v>
      </x:c>
      <x:c r="B52" s="37" t="str">
        <x:v>S11</x:v>
      </x:c>
      <x:c r="C52" s="41" t="str">
        <x:v>내 감정을 말하지 않아도 알아채는 모습</x:v>
      </x:c>
      <x:c r="D52" s="41" t="str">
        <x:v>상대가 내 감정을 알아채지 못한다면 나는 주로 어떻게 행동할까요?</x:v>
      </x:c>
      <x:c r="E52" s="41" t="n">
        <x:v>1</x:v>
      </x:c>
      <x:c r="F52" s="41" t="str">
        <x:v>더 눈에 띄게 차갑거나 우울한 태도를 보이며 반응을 기다린다.</x:v>
      </x:c>
      <x:c r="G52" s="37" t="str">
        <x:v>protest_control</x:v>
      </x:c>
      <x:c r="H52" s="49" t="str">
        <x:v>반응 유도·통제</x:v>
      </x:c>
      <x:c r="I52" s="37" t="n">
        <x:v>4</x:v>
      </x:c>
      <x:c r="J52" s="23" t="str">
        <x:v>전략의 단점 제시</x:v>
      </x:c>
    </x:row>
    <x:row r="53">
      <x:c r="A53" s="22" t="str">
        <x:v>S11|2</x:v>
      </x:c>
      <x:c r="B53" s="37" t="str">
        <x:v>S11</x:v>
      </x:c>
      <x:c r="C53" s="41" t="str">
        <x:v>내 감정을 말하지 않아도 알아채는 모습</x:v>
      </x:c>
      <x:c r="D53" s="41" t="str">
        <x:v>상대가 내 감정을 알아채지 못한다면 나는 주로 어떻게 행동할까요?</x:v>
      </x:c>
      <x:c r="E53" s="41" t="n">
        <x:v>2</x:v>
      </x:c>
      <x:c r="F53" s="41" t="str">
        <x:v>상대가 언제 알아차리는지 계속 관찰하고 시험한다.</x:v>
      </x:c>
      <x:c r="G53" s="37" t="str">
        <x:v>reassurance_monitoring</x:v>
      </x:c>
      <x:c r="H53" s="49" t="str">
        <x:v>확인·감시</x:v>
      </x:c>
      <x:c r="I53" s="37" t="n">
        <x:v>4</x:v>
      </x:c>
      <x:c r="J53" s="23" t="str">
        <x:v>전략의 단점 제시</x:v>
      </x:c>
    </x:row>
    <x:row r="54">
      <x:c r="A54" s="22" t="str">
        <x:v>S11|3</x:v>
      </x:c>
      <x:c r="B54" s="37" t="str">
        <x:v>S11</x:v>
      </x:c>
      <x:c r="C54" s="41" t="str">
        <x:v>내 감정을 말하지 않아도 알아채는 모습</x:v>
      </x:c>
      <x:c r="D54" s="41" t="str">
        <x:v>상대가 내 감정을 알아채지 못한다면 나는 주로 어떻게 행동할까요?</x:v>
      </x:c>
      <x:c r="E54" s="41" t="n">
        <x:v>3</x:v>
      </x:c>
      <x:c r="F54" s="41" t="str">
        <x:v>말해도 소용없다고 생각하며 감정을 혼자 삼킨다.</x:v>
      </x:c>
      <x:c r="G54" s="37" t="str">
        <x:v>withdrawal_protection</x:v>
      </x:c>
      <x:c r="H54" s="49" t="str">
        <x:v>철수·거리두기</x:v>
      </x:c>
      <x:c r="I54" s="37" t="n">
        <x:v>4</x:v>
      </x:c>
      <x:c r="J54" s="23" t="str">
        <x:v>전략의 단점 제시</x:v>
      </x:c>
    </x:row>
    <x:row r="55">
      <x:c r="A55" s="22" t="str">
        <x:v>S11|4</x:v>
      </x:c>
      <x:c r="B55" s="37" t="str">
        <x:v>S11</x:v>
      </x:c>
      <x:c r="C55" s="41" t="str">
        <x:v>내 감정을 말하지 않아도 알아채는 모습</x:v>
      </x:c>
      <x:c r="D55" s="41" t="str">
        <x:v>상대가 내 감정을 알아채지 못한다면 나는 주로 어떻게 행동할까요?</x:v>
      </x:c>
      <x:c r="E55" s="41" t="n">
        <x:v>4</x:v>
      </x:c>
      <x:c r="F55" s="41" t="str">
        <x:v>상대가 알아챌 수 있도록 내 상태를 과장해서 드러낸다.</x:v>
      </x:c>
      <x:c r="G55" s="37" t="str">
        <x:v>overcompensation</x:v>
      </x:c>
      <x:c r="H55" s="49" t="str">
        <x:v>과잉보상·증명</x:v>
      </x:c>
      <x:c r="I55" s="37" t="n">
        <x:v>4</x:v>
      </x:c>
      <x:c r="J55" s="23" t="str">
        <x:v>전략의 단점 제시</x:v>
      </x:c>
    </x:row>
    <x:row r="56">
      <x:c r="A56" s="22" t="str">
        <x:v>S11|5</x:v>
      </x:c>
      <x:c r="B56" s="37" t="str">
        <x:v>S11</x:v>
      </x:c>
      <x:c r="C56" s="41" t="str">
        <x:v>내 감정을 말하지 않아도 알아채는 모습</x:v>
      </x:c>
      <x:c r="D56" s="41" t="str">
        <x:v>상대가 내 감정을 알아채지 못한다면 나는 주로 어떻게 행동할까요?</x:v>
      </x:c>
      <x:c r="E56" s="41" t="n">
        <x:v>5</x:v>
      </x:c>
      <x:c r="F56" s="41" t="str">
        <x:v>지금 어떤 감정을 느끼고 있으며 무엇이 필요한지 직접 말한다.</x:v>
      </x:c>
      <x:c r="G56" s="37" t="str">
        <x:v>direct_communication</x:v>
      </x:c>
      <x:c r="H56" s="49" t="str">
        <x:v>직접 표현·협상</x:v>
      </x:c>
      <x:c r="I56" s="37" t="n">
        <x:v>4</x:v>
      </x:c>
      <x:c r="J56" s="23" t="str">
        <x:v>단점 대신 주의점 제시</x:v>
      </x:c>
    </x:row>
    <x:row r="57">
      <x:c r="A57" s="22" t="str">
        <x:v>S12|1</x:v>
      </x:c>
      <x:c r="B57" s="37" t="str">
        <x:v>S12</x:v>
      </x:c>
      <x:c r="C57" s="41" t="str">
        <x:v>각자의 시간을 편안하게 보내는 모습</x:v>
      </x:c>
      <x:c r="D57" s="41" t="str">
        <x:v>상대가 각자의 시간을 편안하게 보내지 못한다면 나는 주로 어떻게 행동할까요?</x:v>
      </x:c>
      <x:c r="E57" s="41" t="n">
        <x:v>1</x:v>
      </x:c>
      <x:c r="F57" s="41" t="str">
        <x:v>혼자 있는 시간을 지키기 위해 연락을 끊거나 일정을 숨긴다.</x:v>
      </x:c>
      <x:c r="G57" s="37" t="str">
        <x:v>protest_control</x:v>
      </x:c>
      <x:c r="H57" s="49" t="str">
        <x:v>반응 유도·통제</x:v>
      </x:c>
      <x:c r="I57" s="37" t="n">
        <x:v>4</x:v>
      </x:c>
      <x:c r="J57" s="23" t="str">
        <x:v>전략의 단점 제시</x:v>
      </x:c>
    </x:row>
    <x:row r="58">
      <x:c r="A58" s="22" t="str">
        <x:v>S12|2</x:v>
      </x:c>
      <x:c r="B58" s="37" t="str">
        <x:v>S12</x:v>
      </x:c>
      <x:c r="C58" s="41" t="str">
        <x:v>각자의 시간을 편안하게 보내는 모습</x:v>
      </x:c>
      <x:c r="D58" s="41" t="str">
        <x:v>상대가 각자의 시간을 편안하게 보내지 못한다면 나는 주로 어떻게 행동할까요?</x:v>
      </x:c>
      <x:c r="E58" s="41" t="n">
        <x:v>2</x:v>
      </x:c>
      <x:c r="F58" s="41" t="str">
        <x:v>상대가 불안해하지 않도록 계속 위치와 일정을 보고한다.</x:v>
      </x:c>
      <x:c r="G58" s="37" t="str">
        <x:v>reassurance_monitoring</x:v>
      </x:c>
      <x:c r="H58" s="49" t="str">
        <x:v>확인·감시</x:v>
      </x:c>
      <x:c r="I58" s="37" t="n">
        <x:v>4</x:v>
      </x:c>
      <x:c r="J58" s="23" t="str">
        <x:v>전략의 단점 제시</x:v>
      </x:c>
    </x:row>
    <x:row r="59">
      <x:c r="A59" s="22" t="str">
        <x:v>S12|3</x:v>
      </x:c>
      <x:c r="B59" s="37" t="str">
        <x:v>S12</x:v>
      </x:c>
      <x:c r="C59" s="41" t="str">
        <x:v>각자의 시간을 편안하게 보내는 모습</x:v>
      </x:c>
      <x:c r="D59" s="41" t="str">
        <x:v>상대가 각자의 시간을 편안하게 보내지 못한다면 나는 주로 어떻게 행동할까요?</x:v>
      </x:c>
      <x:c r="E59" s="41" t="n">
        <x:v>3</x:v>
      </x:c>
      <x:c r="F59" s="41" t="str">
        <x:v>관계가 답답하다고 느끼며 정서적으로 멀어지기 시작한다.</x:v>
      </x:c>
      <x:c r="G59" s="37" t="str">
        <x:v>withdrawal_protection</x:v>
      </x:c>
      <x:c r="H59" s="49" t="str">
        <x:v>철수·거리두기</x:v>
      </x:c>
      <x:c r="I59" s="37" t="n">
        <x:v>4</x:v>
      </x:c>
      <x:c r="J59" s="23" t="str">
        <x:v>전략의 단점 제시</x:v>
      </x:c>
    </x:row>
    <x:row r="60">
      <x:c r="A60" s="22" t="str">
        <x:v>S12|4</x:v>
      </x:c>
      <x:c r="B60" s="37" t="str">
        <x:v>S12</x:v>
      </x:c>
      <x:c r="C60" s="41" t="str">
        <x:v>각자의 시간을 편안하게 보내는 모습</x:v>
      </x:c>
      <x:c r="D60" s="41" t="str">
        <x:v>상대가 각자의 시간을 편안하게 보내지 못한다면 나는 주로 어떻게 행동할까요?</x:v>
      </x:c>
      <x:c r="E60" s="41" t="n">
        <x:v>4</x:v>
      </x:c>
      <x:c r="F60" s="41" t="str">
        <x:v>혼자서도 잘 지낼 수 있다는 것을 보여주려고 더욱 독립적으로 행동한다.</x:v>
      </x:c>
      <x:c r="G60" s="37" t="str">
        <x:v>overcompensation</x:v>
      </x:c>
      <x:c r="H60" s="49" t="str">
        <x:v>과잉보상·증명</x:v>
      </x:c>
      <x:c r="I60" s="37" t="n">
        <x:v>4</x:v>
      </x:c>
      <x:c r="J60" s="23" t="str">
        <x:v>전략의 단점 제시</x:v>
      </x:c>
    </x:row>
    <x:row r="61">
      <x:c r="A61" s="24" t="str">
        <x:v>S12|5</x:v>
      </x:c>
      <x:c r="B61" s="38" t="str">
        <x:v>S12</x:v>
      </x:c>
      <x:c r="C61" s="42" t="str">
        <x:v>각자의 시간을 편안하게 보내는 모습</x:v>
      </x:c>
      <x:c r="D61" s="42" t="str">
        <x:v>상대가 각자의 시간을 편안하게 보내지 못한다면 나는 주로 어떻게 행동할까요?</x:v>
      </x:c>
      <x:c r="E61" s="42" t="n">
        <x:v>5</x:v>
      </x:c>
      <x:c r="F61" s="42" t="str">
        <x:v>함께할 시간과 각자 보낼 시간을 구체적으로 정해보자고 제안한다.</x:v>
      </x:c>
      <x:c r="G61" s="38" t="str">
        <x:v>direct_communication</x:v>
      </x:c>
      <x:c r="H61" s="50" t="str">
        <x:v>직접 표현·협상</x:v>
      </x:c>
      <x:c r="I61" s="38" t="n">
        <x:v>4</x:v>
      </x:c>
      <x:c r="J61" s="25" t="str">
        <x:v>단점 대신 주의점 제시</x:v>
      </x:c>
    </x:row>
  </x:sheetData>
  <x:pageMargins left="0.7" right="0.7" top="0.75" bottom="0.75" header="0.3" footer="0.3"/>
  <x:tableParts count="1">
    <x:tablePart xmlns:r="http://schemas.openxmlformats.org/officeDocument/2006/relationships" r:id="Rb7c23e0695934d3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5" hidden="0" customWidth="1"/>
    <x:col min="7" max="7" width="60" hidden="0" customWidth="1"/>
    <x:col min="8" max="8" width="60" hidden="0" customWidth="1"/>
    <x:col min="9" max="9" width="60" hidden="0" customWidth="1"/>
    <x:col min="10" max="10" width="30" hidden="0" customWidth="1"/>
  </x:cols>
  <x:sheetData>
    <x:row r="1">
      <x:c r="A1" s="20" t="str">
        <x:v>결과키</x:v>
      </x:c>
      <x:c r="B1" s="36" t="str">
        <x:v>욕구코드</x:v>
      </x:c>
      <x:c r="C1" s="36" t="str">
        <x:v>욕구유형</x:v>
      </x:c>
      <x:c r="D1" s="36" t="str">
        <x:v>전략코드</x:v>
      </x:c>
      <x:c r="E1" s="36" t="str">
        <x:v>대응전략</x:v>
      </x:c>
      <x:c r="F1" s="36" t="str">
        <x:v>결과 제목</x:v>
      </x:c>
      <x:c r="G1" s="36" t="str">
        <x:v>욕구 위협 해설</x:v>
      </x:c>
      <x:c r="H1" s="36" t="str">
        <x:v>전략 설명·단점/주의점</x:v>
      </x:c>
      <x:c r="I1" s="36" t="str">
        <x:v>최종 결과문</x:v>
      </x:c>
      <x:c r="J1" s="21" t="str">
        <x:v>표시 기준</x:v>
      </x:c>
    </x:row>
    <x:row r="2">
      <x:c r="A2" s="22" t="str">
        <x:v>안전성|반응 유도·통제</x:v>
      </x:c>
      <x:c r="B2" s="37" t="str">
        <x:v>safety</x:v>
      </x:c>
      <x:c r="C2" s="37" t="str">
        <x:v>안전성</x:v>
      </x:c>
      <x:c r="D2" s="37" t="str">
        <x:v>protest_control</x:v>
      </x:c>
      <x:c r="E2" s="37" t="str">
        <x:v>반응 유도·통제</x:v>
      </x:c>
      <x:c r="F2" s="41" t="str">
        <x:v>안전성이 위협받을 때, 나는 반응 유도·통제 전략을 사용하는 편입니다.</x:v>
      </x:c>
      <x:c r="G2" s="41" t="str">
        <x:v>당신은 관계가 쉽게 끝나지 않고, 어려운 순간에도 상대가 곁에 있을 것이라는 확신을 중요하게 여깁니다. 연락이 끊기거나 갈등이 오래 이어지면 단순한 상황의 변화보다 관계 자체가 흔들리고 있다고 느낄 수 있습니다.</x:v>
      </x:c>
      <x:c r="H2" s="41" t="str">
        <x:v>불안한 마음을 직접 말하기보다 질투를 유발하거나, 먼저 연락하지 않거나, 상대의 반응을 끌어내는 행동을 할 수 있습니다. 상대가 즉시 반응하면 잠시 안심되지만, 관계가 사랑의 확인 시험처럼 변하고 갈등이 커질 수 있습니다.</x:v>
      </x:c>
      <x:c r="I2" s="41" t="str">
        <x:v>당신은 관계가 쉽게 끝나지 않고, 어려운 순간에도 상대가 곁에 있을 것이라는 확신을 중요하게 여깁니다. 연락이 끊기거나 갈등이 오래 이어지면 단순한 상황의 변화보다 관계 자체가 흔들리고 있다고 느낄 수 있습니다.
불안한 마음을 직접 말하기보다 질투를 유발하거나, 먼저 연락하지 않거나, 상대의 반응을 끌어내는 행동을 할 수 있습니다. 상대가 즉시 반응하면 잠시 안심되지만, 관계가 사랑의 확인 시험처럼 변하고 갈등이 커질 수 있습니다.</x:v>
      </x:c>
      <x:c r="J2" s="32" t="str">
        <x:v>전략의 기능과 단점</x:v>
      </x:c>
    </x:row>
    <x:row r="3">
      <x:c r="A3" s="22" t="str">
        <x:v>안전성|확인·감시</x:v>
      </x:c>
      <x:c r="B3" s="37" t="str">
        <x:v>safety</x:v>
      </x:c>
      <x:c r="C3" s="37" t="str">
        <x:v>안전성</x:v>
      </x:c>
      <x:c r="D3" s="37" t="str">
        <x:v>reassurance_monitoring</x:v>
      </x:c>
      <x:c r="E3" s="37" t="str">
        <x:v>확인·감시</x:v>
      </x:c>
      <x:c r="F3" s="41" t="str">
        <x:v>안전성이 위협받을 때, 나는 확인·감시 전략을 사용하는 편입니다.</x:v>
      </x:c>
      <x:c r="G3" s="41" t="str">
        <x:v>당신은 관계가 쉽게 끝나지 않고, 어려운 순간에도 상대가 곁에 있을 것이라는 확신을 중요하게 여깁니다. 연락이 끊기거나 갈등이 오래 이어지면 단순한 상황의 변화보다 관계 자체가 흔들리고 있다고 느낄 수 있습니다.</x:v>
      </x:c>
      <x:c r="H3" s="41" t="str">
        <x:v>연락 횟수, 답장 속도, 말투와 온라인 상태를 확인하며 관계가 안전한지 판단하려는 편입니다. 확인할 때는 불안이 줄어들지만 그 효과가 오래가지 않아, 작은 변화에도 더 자주 확인하게 될 수 있습니다.</x:v>
      </x:c>
      <x:c r="I3" s="41" t="str">
        <x:v>당신은 관계가 쉽게 끝나지 않고, 어려운 순간에도 상대가 곁에 있을 것이라는 확신을 중요하게 여깁니다. 연락이 끊기거나 갈등이 오래 이어지면 단순한 상황의 변화보다 관계 자체가 흔들리고 있다고 느낄 수 있습니다.
연락 횟수, 답장 속도, 말투와 온라인 상태를 확인하며 관계가 안전한지 판단하려는 편입니다. 확인할 때는 불안이 줄어들지만 그 효과가 오래가지 않아, 작은 변화에도 더 자주 확인하게 될 수 있습니다.</x:v>
      </x:c>
      <x:c r="J3" s="32" t="str">
        <x:v>전략의 기능과 단점</x:v>
      </x:c>
    </x:row>
    <x:row r="4">
      <x:c r="A4" s="22" t="str">
        <x:v>안전성|철수·거리두기</x:v>
      </x:c>
      <x:c r="B4" s="37" t="str">
        <x:v>safety</x:v>
      </x:c>
      <x:c r="C4" s="37" t="str">
        <x:v>안전성</x:v>
      </x:c>
      <x:c r="D4" s="37" t="str">
        <x:v>withdrawal_protection</x:v>
      </x:c>
      <x:c r="E4" s="37" t="str">
        <x:v>철수·거리두기</x:v>
      </x:c>
      <x:c r="F4" s="41" t="str">
        <x:v>안전성이 위협받을 때, 나는 철수·거리두기 전략을 사용하는 편입니다.</x:v>
      </x:c>
      <x:c r="G4" s="41" t="str">
        <x:v>당신은 관계가 쉽게 끝나지 않고, 어려운 순간에도 상대가 곁에 있을 것이라는 확신을 중요하게 여깁니다. 연락이 끊기거나 갈등이 오래 이어지면 단순한 상황의 변화보다 관계 자체가 흔들리고 있다고 느낄 수 있습니다.</x:v>
      </x:c>
      <x:c r="H4" s="41" t="str">
        <x:v>버림받기 전에 먼저 마음을 거두고 혼자 이별을 준비하며 자신을 보호할 수 있습니다. 당장의 상처는 줄일 수 있지만, 상대에게 회복할 기회를 주지 않아 실제 거리감이 더 커질 수 있습니다.</x:v>
      </x:c>
      <x:c r="I4" s="41" t="str">
        <x:v>당신은 관계가 쉽게 끝나지 않고, 어려운 순간에도 상대가 곁에 있을 것이라는 확신을 중요하게 여깁니다. 연락이 끊기거나 갈등이 오래 이어지면 단순한 상황의 변화보다 관계 자체가 흔들리고 있다고 느낄 수 있습니다.
버림받기 전에 먼저 마음을 거두고 혼자 이별을 준비하며 자신을 보호할 수 있습니다. 당장의 상처는 줄일 수 있지만, 상대에게 회복할 기회를 주지 않아 실제 거리감이 더 커질 수 있습니다.</x:v>
      </x:c>
      <x:c r="J4" s="32" t="str">
        <x:v>전략의 기능과 단점</x:v>
      </x:c>
    </x:row>
    <x:row r="5">
      <x:c r="A5" s="22" t="str">
        <x:v>안전성|과잉보상·증명</x:v>
      </x:c>
      <x:c r="B5" s="37" t="str">
        <x:v>safety</x:v>
      </x:c>
      <x:c r="C5" s="37" t="str">
        <x:v>안전성</x:v>
      </x:c>
      <x:c r="D5" s="37" t="str">
        <x:v>overcompensation</x:v>
      </x:c>
      <x:c r="E5" s="37" t="str">
        <x:v>과잉보상·증명</x:v>
      </x:c>
      <x:c r="F5" s="41" t="str">
        <x:v>안전성이 위협받을 때, 나는 과잉보상·증명 전략을 사용하는 편입니다.</x:v>
      </x:c>
      <x:c r="G5" s="41" t="str">
        <x:v>당신은 관계가 쉽게 끝나지 않고, 어려운 순간에도 상대가 곁에 있을 것이라는 확신을 중요하게 여깁니다. 연락이 끊기거나 갈등이 오래 이어지면 단순한 상황의 변화보다 관계 자체가 흔들리고 있다고 느낄 수 있습니다.</x:v>
      </x:c>
      <x:c r="H5" s="41" t="str">
        <x:v>상대가 떠나지 않도록 더 좋은 연인, 더 매력적인 사람, 없어서는 안 될 사람이 되려고 애쓸 수 있습니다. 관계를 유지하기 위해 끊임없이 자신을 증명하다 보면 사랑이 성과에 달려 있다는 느낌과 소진이 커질 수 있습니다.</x:v>
      </x:c>
      <x:c r="I5" s="41" t="str">
        <x:v>당신은 관계가 쉽게 끝나지 않고, 어려운 순간에도 상대가 곁에 있을 것이라는 확신을 중요하게 여깁니다. 연락이 끊기거나 갈등이 오래 이어지면 단순한 상황의 변화보다 관계 자체가 흔들리고 있다고 느낄 수 있습니다.
상대가 떠나지 않도록 더 좋은 연인, 더 매력적인 사람, 없어서는 안 될 사람이 되려고 애쓸 수 있습니다. 관계를 유지하기 위해 끊임없이 자신을 증명하다 보면 사랑이 성과에 달려 있다는 느낌과 소진이 커질 수 있습니다.</x:v>
      </x:c>
      <x:c r="J5" s="32" t="str">
        <x:v>전략의 기능과 단점</x:v>
      </x:c>
    </x:row>
    <x:row r="6">
      <x:c r="A6" s="22" t="str">
        <x:v>안전성|직접 표현·협상</x:v>
      </x:c>
      <x:c r="B6" s="37" t="str">
        <x:v>safety</x:v>
      </x:c>
      <x:c r="C6" s="37" t="str">
        <x:v>안전성</x:v>
      </x:c>
      <x:c r="D6" s="37" t="str">
        <x:v>direct_communication</x:v>
      </x:c>
      <x:c r="E6" s="37" t="str">
        <x:v>직접 표현·협상</x:v>
      </x:c>
      <x:c r="F6" s="41" t="str">
        <x:v>안전성이 위협받을 때, 나는 직접 표현·협상 전략을 사용하는 편입니다.</x:v>
      </x:c>
      <x:c r="G6" s="41" t="str">
        <x:v>당신은 관계가 쉽게 끝나지 않고, 어려운 순간에도 상대가 곁에 있을 것이라는 확신을 중요하게 여깁니다. 연락이 끊기거나 갈등이 오래 이어지면 단순한 상황의 변화보다 관계 자체가 흔들리고 있다고 느낄 수 있습니다.</x:v>
      </x:c>
      <x:c r="H6" s="41" t="str">
        <x:v>관계가 불안하게 느껴지는 상황과 필요한 약속을 구체적으로 설명하는 편입니다. 다만 상대에게 항상 즉각적인 확신을 요구하기보다, 서로 현실적으로 지킬 수 있는 연락과 갈등 해결 방식을 합의하는 것이 중요합니다.</x:v>
      </x:c>
      <x:c r="I6" s="41" t="str">
        <x:v>당신은 관계가 쉽게 끝나지 않고, 어려운 순간에도 상대가 곁에 있을 것이라는 확신을 중요하게 여깁니다. 연락이 끊기거나 갈등이 오래 이어지면 단순한 상황의 변화보다 관계 자체가 흔들리고 있다고 느낄 수 있습니다.
관계가 불안하게 느껴지는 상황과 필요한 약속을 구체적으로 설명하는 편입니다. 다만 상대에게 항상 즉각적인 확신을 요구하기보다, 서로 현실적으로 지킬 수 있는 연락과 갈등 해결 방식을 합의하는 것이 중요합니다.</x:v>
      </x:c>
      <x:c r="J6" s="32" t="str">
        <x:v>단점 대신 활용 시 주의점</x:v>
      </x:c>
    </x:row>
    <x:row r="7">
      <x:c r="A7" s="22" t="str">
        <x:v>소속감|반응 유도·통제</x:v>
      </x:c>
      <x:c r="B7" s="37" t="str">
        <x:v>intimacy</x:v>
      </x:c>
      <x:c r="C7" s="37" t="str">
        <x:v>소속감</x:v>
      </x:c>
      <x:c r="D7" s="37" t="str">
        <x:v>protest_control</x:v>
      </x:c>
      <x:c r="E7" s="37" t="str">
        <x:v>반응 유도·통제</x:v>
      </x:c>
      <x:c r="F7" s="41" t="str">
        <x:v>소속감이 위협받을 때, 나는 반응 유도·통제 전략을 사용하는 편입니다.</x:v>
      </x:c>
      <x:c r="G7" s="41" t="str">
        <x:v>당신은 서로의 일상, 감정, 중요한 결정과 미래를 나누며 ‘우리는 한 팀’이라고 느끼는 것을 중요하게 여깁니다. 공유가 줄어들거나 상대의 삶에서 자신이 제외되었다고 느끼면 관계가 멀어졌다고 해석할 수 있습니다.</x:v>
      </x:c>
      <x:c r="H7" s="41" t="str">
        <x:v>상대가 먼저 다가오도록 일부러 일상을 숨기거나, 중요한 일을 알리지 않거나, 더 적극적인 공유를 요구할 수 있습니다. 반응은 얻을 수 있지만 관계가 자발적인 연결보다 의무와 압박으로 느껴질 수 있습니다.</x:v>
      </x:c>
      <x:c r="I7" s="41" t="str">
        <x:v>당신은 서로의 일상, 감정, 중요한 결정과 미래를 나누며 ‘우리는 한 팀’이라고 느끼는 것을 중요하게 여깁니다. 공유가 줄어들거나 상대의 삶에서 자신이 제외되었다고 느끼면 관계가 멀어졌다고 해석할 수 있습니다.
상대가 먼저 다가오도록 일부러 일상을 숨기거나, 중요한 일을 알리지 않거나, 더 적극적인 공유를 요구할 수 있습니다. 반응은 얻을 수 있지만 관계가 자발적인 연결보다 의무와 압박으로 느껴질 수 있습니다.</x:v>
      </x:c>
      <x:c r="J7" s="32" t="str">
        <x:v>전략의 기능과 단점</x:v>
      </x:c>
    </x:row>
    <x:row r="8">
      <x:c r="A8" s="22" t="str">
        <x:v>소속감|확인·감시</x:v>
      </x:c>
      <x:c r="B8" s="37" t="str">
        <x:v>intimacy</x:v>
      </x:c>
      <x:c r="C8" s="37" t="str">
        <x:v>소속감</x:v>
      </x:c>
      <x:c r="D8" s="37" t="str">
        <x:v>reassurance_monitoring</x:v>
      </x:c>
      <x:c r="E8" s="37" t="str">
        <x:v>확인·감시</x:v>
      </x:c>
      <x:c r="F8" s="41" t="str">
        <x:v>소속감이 위협받을 때, 나는 확인·감시 전략을 사용하는 편입니다.</x:v>
      </x:c>
      <x:c r="G8" s="41" t="str">
        <x:v>당신은 서로의 일상, 감정, 중요한 결정과 미래를 나누며 ‘우리는 한 팀’이라고 느끼는 것을 중요하게 여깁니다. 공유가 줄어들거나 상대의 삶에서 자신이 제외되었다고 느끼면 관계가 멀어졌다고 해석할 수 있습니다.</x:v>
      </x:c>
      <x:c r="H8" s="41" t="str">
        <x:v>답장 시간, 온라인 상태, 상대의 일정과 인간관계를 확인하며 아직 연결되어 있는지 살필 수 있습니다. 이는 잠시 소외감을 줄이지만, 모든 정보를 알아야 안심할 수 있는 관계로 변할 위험이 있습니다.</x:v>
      </x:c>
      <x:c r="I8" s="41" t="str">
        <x:v>당신은 서로의 일상, 감정, 중요한 결정과 미래를 나누며 ‘우리는 한 팀’이라고 느끼는 것을 중요하게 여깁니다. 공유가 줄어들거나 상대의 삶에서 자신이 제외되었다고 느끼면 관계가 멀어졌다고 해석할 수 있습니다.
답장 시간, 온라인 상태, 상대의 일정과 인간관계를 확인하며 아직 연결되어 있는지 살필 수 있습니다. 이는 잠시 소외감을 줄이지만, 모든 정보를 알아야 안심할 수 있는 관계로 변할 위험이 있습니다.</x:v>
      </x:c>
      <x:c r="J8" s="32" t="str">
        <x:v>전략의 기능과 단점</x:v>
      </x:c>
    </x:row>
    <x:row r="9">
      <x:c r="A9" s="22" t="str">
        <x:v>소속감|철수·거리두기</x:v>
      </x:c>
      <x:c r="B9" s="37" t="str">
        <x:v>intimacy</x:v>
      </x:c>
      <x:c r="C9" s="37" t="str">
        <x:v>소속감</x:v>
      </x:c>
      <x:c r="D9" s="37" t="str">
        <x:v>withdrawal_protection</x:v>
      </x:c>
      <x:c r="E9" s="37" t="str">
        <x:v>철수·거리두기</x:v>
      </x:c>
      <x:c r="F9" s="41" t="str">
        <x:v>소속감이 위협받을 때, 나는 철수·거리두기 전략을 사용하는 편입니다.</x:v>
      </x:c>
      <x:c r="G9" s="41" t="str">
        <x:v>당신은 서로의 일상, 감정, 중요한 결정과 미래를 나누며 ‘우리는 한 팀’이라고 느끼는 것을 중요하게 여깁니다. 공유가 줄어들거나 상대의 삶에서 자신이 제외되었다고 느끼면 관계가 멀어졌다고 해석할 수 있습니다.</x:v>
      </x:c>
      <x:c r="H9" s="41" t="str">
        <x:v>상대가 일상을 공유하지 않으면 자신도 먼저 연락하거나 이야기하는 일을 줄이며 마음을 닫을 수 있습니다. 서운함을 들키지 않는 데는 도움이 되지만, 서로 공유가 줄어들면서 실제 친밀감도 약해질 수 있습니다.</x:v>
      </x:c>
      <x:c r="I9" s="41" t="str">
        <x:v>당신은 서로의 일상, 감정, 중요한 결정과 미래를 나누며 ‘우리는 한 팀’이라고 느끼는 것을 중요하게 여깁니다. 공유가 줄어들거나 상대의 삶에서 자신이 제외되었다고 느끼면 관계가 멀어졌다고 해석할 수 있습니다.
상대가 일상을 공유하지 않으면 자신도 먼저 연락하거나 이야기하는 일을 줄이며 마음을 닫을 수 있습니다. 서운함을 들키지 않는 데는 도움이 되지만, 서로 공유가 줄어들면서 실제 친밀감도 약해질 수 있습니다.</x:v>
      </x:c>
      <x:c r="J9" s="32" t="str">
        <x:v>전략의 기능과 단점</x:v>
      </x:c>
    </x:row>
    <x:row r="10">
      <x:c r="A10" s="22" t="str">
        <x:v>소속감|과잉보상·증명</x:v>
      </x:c>
      <x:c r="B10" s="37" t="str">
        <x:v>intimacy</x:v>
      </x:c>
      <x:c r="C10" s="37" t="str">
        <x:v>소속감</x:v>
      </x:c>
      <x:c r="D10" s="37" t="str">
        <x:v>overcompensation</x:v>
      </x:c>
      <x:c r="E10" s="37" t="str">
        <x:v>과잉보상·증명</x:v>
      </x:c>
      <x:c r="F10" s="41" t="str">
        <x:v>소속감이 위협받을 때, 나는 과잉보상·증명 전략을 사용하는 편입니다.</x:v>
      </x:c>
      <x:c r="G10" s="41" t="str">
        <x:v>당신은 서로의 일상, 감정, 중요한 결정과 미래를 나누며 ‘우리는 한 팀’이라고 느끼는 것을 중요하게 여깁니다. 공유가 줄어들거나 상대의 삶에서 자신이 제외되었다고 느끼면 관계가 멀어졌다고 해석할 수 있습니다.</x:v>
      </x:c>
      <x:c r="H10" s="41" t="str">
        <x:v>상대가 관심을 가지도록 더 재미있는 이야기와 경험을 만들거나, 상대의 모든 일정에 참여하려 할 수 있습니다. 연결감을 얻기 위해 자신을 과도하게 맞추면 자신의 생활과 욕구를 잃기 쉽습니다.</x:v>
      </x:c>
      <x:c r="I10" s="41" t="str">
        <x:v>당신은 서로의 일상, 감정, 중요한 결정과 미래를 나누며 ‘우리는 한 팀’이라고 느끼는 것을 중요하게 여깁니다. 공유가 줄어들거나 상대의 삶에서 자신이 제외되었다고 느끼면 관계가 멀어졌다고 해석할 수 있습니다.
상대가 관심을 가지도록 더 재미있는 이야기와 경험을 만들거나, 상대의 모든 일정에 참여하려 할 수 있습니다. 연결감을 얻기 위해 자신을 과도하게 맞추면 자신의 생활과 욕구를 잃기 쉽습니다.</x:v>
      </x:c>
      <x:c r="J10" s="32" t="str">
        <x:v>전략의 기능과 단점</x:v>
      </x:c>
    </x:row>
    <x:row r="11">
      <x:c r="A11" s="22" t="str">
        <x:v>소속감|직접 표현·협상</x:v>
      </x:c>
      <x:c r="B11" s="37" t="str">
        <x:v>intimacy</x:v>
      </x:c>
      <x:c r="C11" s="37" t="str">
        <x:v>소속감</x:v>
      </x:c>
      <x:c r="D11" s="37" t="str">
        <x:v>direct_communication</x:v>
      </x:c>
      <x:c r="E11" s="37" t="str">
        <x:v>직접 표현·협상</x:v>
      </x:c>
      <x:c r="F11" s="41" t="str">
        <x:v>소속감이 위협받을 때, 나는 직접 표현·협상 전략을 사용하는 편입니다.</x:v>
      </x:c>
      <x:c r="G11" s="41" t="str">
        <x:v>당신은 서로의 일상, 감정, 중요한 결정과 미래를 나누며 ‘우리는 한 팀’이라고 느끼는 것을 중요하게 여깁니다. 공유가 줄어들거나 상대의 삶에서 자신이 제외되었다고 느끼면 관계가 멀어졌다고 해석할 수 있습니다.</x:v>
      </x:c>
      <x:c r="H11" s="41" t="str">
        <x:v>일상 공유가 자신에게 어떤 의미인지 설명하고, 서로 부담 없이 연결될 수 있는 방식을 정하는 편입니다. 연락량을 사랑의 기준으로 고정하지 않고 두 사람에게 맞는 빈도와 방식을 찾는 것이 중요합니다.</x:v>
      </x:c>
      <x:c r="I11" s="41" t="str">
        <x:v>당신은 서로의 일상, 감정, 중요한 결정과 미래를 나누며 ‘우리는 한 팀’이라고 느끼는 것을 중요하게 여깁니다. 공유가 줄어들거나 상대의 삶에서 자신이 제외되었다고 느끼면 관계가 멀어졌다고 해석할 수 있습니다.
일상 공유가 자신에게 어떤 의미인지 설명하고, 서로 부담 없이 연결될 수 있는 방식을 정하는 편입니다. 연락량을 사랑의 기준으로 고정하지 않고 두 사람에게 맞는 빈도와 방식을 찾는 것이 중요합니다.</x:v>
      </x:c>
      <x:c r="J11" s="32" t="str">
        <x:v>단점 대신 활용 시 주의점</x:v>
      </x:c>
    </x:row>
    <x:row r="12">
      <x:c r="A12" s="22" t="str">
        <x:v>특별함|반응 유도·통제</x:v>
      </x:c>
      <x:c r="B12" s="37" t="str">
        <x:v>specialness</x:v>
      </x:c>
      <x:c r="C12" s="37" t="str">
        <x:v>특별함</x:v>
      </x:c>
      <x:c r="D12" s="37" t="str">
        <x:v>protest_control</x:v>
      </x:c>
      <x:c r="E12" s="37" t="str">
        <x:v>반응 유도·통제</x:v>
      </x:c>
      <x:c r="F12" s="41" t="str">
        <x:v>특별함이 위협받을 때, 나는 반응 유도·통제 전략을 사용하는 편입니다.</x:v>
      </x:c>
      <x:c r="G12" s="41" t="str">
        <x:v>당신은 상대에게 우선적으로 선택받고, 다른 사람과 구별되는 소중한 존재라고 느끼는 것을 중요하게 여깁니다. 애정이나 인정 표현이 부족하면 자신이 대체 가능한 사람인지, 충분히 매력적인 사람인지 의심할 수 있습니다.</x:v>
      </x:c>
      <x:c r="H12" s="41" t="str">
        <x:v>다른 사람의 관심을 일부러 이야기하거나 질투를 유발해 자신이 특별한지 확인하려 할 수 있습니다. 상대의 반응은 얻을 수 있지만 애정 표현이 경쟁과 시험을 통해서만 나타나는 관계가 될 수 있습니다.</x:v>
      </x:c>
      <x:c r="I12" s="41" t="str">
        <x:v>당신은 상대에게 우선적으로 선택받고, 다른 사람과 구별되는 소중한 존재라고 느끼는 것을 중요하게 여깁니다. 애정이나 인정 표현이 부족하면 자신이 대체 가능한 사람인지, 충분히 매력적인 사람인지 의심할 수 있습니다.
다른 사람의 관심을 일부러 이야기하거나 질투를 유발해 자신이 특별한지 확인하려 할 수 있습니다. 상대의 반응은 얻을 수 있지만 애정 표현이 경쟁과 시험을 통해서만 나타나는 관계가 될 수 있습니다.</x:v>
      </x:c>
      <x:c r="J12" s="32" t="str">
        <x:v>전략의 기능과 단점</x:v>
      </x:c>
    </x:row>
    <x:row r="13">
      <x:c r="A13" s="22" t="str">
        <x:v>특별함|확인·감시</x:v>
      </x:c>
      <x:c r="B13" s="37" t="str">
        <x:v>specialness</x:v>
      </x:c>
      <x:c r="C13" s="37" t="str">
        <x:v>특별함</x:v>
      </x:c>
      <x:c r="D13" s="37" t="str">
        <x:v>reassurance_monitoring</x:v>
      </x:c>
      <x:c r="E13" s="37" t="str">
        <x:v>확인·감시</x:v>
      </x:c>
      <x:c r="F13" s="41" t="str">
        <x:v>특별함이 위협받을 때, 나는 확인·감시 전략을 사용하는 편입니다.</x:v>
      </x:c>
      <x:c r="G13" s="41" t="str">
        <x:v>당신은 상대에게 우선적으로 선택받고, 다른 사람과 구별되는 소중한 존재라고 느끼는 것을 중요하게 여깁니다. 애정이나 인정 표현이 부족하면 자신이 대체 가능한 사람인지, 충분히 매력적인 사람인지 의심할 수 있습니다.</x:v>
      </x:c>
      <x:c r="H13" s="41" t="str">
        <x:v>상대가 누구를 칭찬하는지, 자신을 얼마나 자주 언급하는지, 다른 사람과 자신을 다르게 대하는지를 반복해서 비교할 수 있습니다. 비교를 통해 잠시 우위를 확인해도 새로운 비교 대상이 생기면 불안이 다시 커질 수 있습니다.</x:v>
      </x:c>
      <x:c r="I13" s="41" t="str">
        <x:v>당신은 상대에게 우선적으로 선택받고, 다른 사람과 구별되는 소중한 존재라고 느끼는 것을 중요하게 여깁니다. 애정이나 인정 표현이 부족하면 자신이 대체 가능한 사람인지, 충분히 매력적인 사람인지 의심할 수 있습니다.
상대가 누구를 칭찬하는지, 자신을 얼마나 자주 언급하는지, 다른 사람과 자신을 다르게 대하는지를 반복해서 비교할 수 있습니다. 비교를 통해 잠시 우위를 확인해도 새로운 비교 대상이 생기면 불안이 다시 커질 수 있습니다.</x:v>
      </x:c>
      <x:c r="J13" s="32" t="str">
        <x:v>전략의 기능과 단점</x:v>
      </x:c>
    </x:row>
    <x:row r="14">
      <x:c r="A14" s="22" t="str">
        <x:v>특별함|철수·거리두기</x:v>
      </x:c>
      <x:c r="B14" s="37" t="str">
        <x:v>specialness</x:v>
      </x:c>
      <x:c r="C14" s="37" t="str">
        <x:v>특별함</x:v>
      </x:c>
      <x:c r="D14" s="37" t="str">
        <x:v>withdrawal_protection</x:v>
      </x:c>
      <x:c r="E14" s="37" t="str">
        <x:v>철수·거리두기</x:v>
      </x:c>
      <x:c r="F14" s="41" t="str">
        <x:v>특별함이 위협받을 때, 나는 철수·거리두기 전략을 사용하는 편입니다.</x:v>
      </x:c>
      <x:c r="G14" s="41" t="str">
        <x:v>당신은 상대에게 우선적으로 선택받고, 다른 사람과 구별되는 소중한 존재라고 느끼는 것을 중요하게 여깁니다. 애정이나 인정 표현이 부족하면 자신이 대체 가능한 사람인지, 충분히 매력적인 사람인지 의심할 수 있습니다.</x:v>
      </x:c>
      <x:c r="H14" s="41" t="str">
        <x:v>특별하게 여겨지지 않는다고 느끼면 상처받기 전에 기대를 접고 관계에서 마음을 뺄 수 있습니다. 자존심은 보호할 수 있지만 상대는 당신이 어떤 표현을 원했는지 알지 못하게 됩니다.</x:v>
      </x:c>
      <x:c r="I14" s="41" t="str">
        <x:v>당신은 상대에게 우선적으로 선택받고, 다른 사람과 구별되는 소중한 존재라고 느끼는 것을 중요하게 여깁니다. 애정이나 인정 표현이 부족하면 자신이 대체 가능한 사람인지, 충분히 매력적인 사람인지 의심할 수 있습니다.
특별하게 여겨지지 않는다고 느끼면 상처받기 전에 기대를 접고 관계에서 마음을 뺄 수 있습니다. 자존심은 보호할 수 있지만 상대는 당신이 어떤 표현을 원했는지 알지 못하게 됩니다.</x:v>
      </x:c>
      <x:c r="J14" s="32" t="str">
        <x:v>전략의 기능과 단점</x:v>
      </x:c>
    </x:row>
    <x:row r="15">
      <x:c r="A15" s="22" t="str">
        <x:v>특별함|과잉보상·증명</x:v>
      </x:c>
      <x:c r="B15" s="37" t="str">
        <x:v>specialness</x:v>
      </x:c>
      <x:c r="C15" s="37" t="str">
        <x:v>특별함</x:v>
      </x:c>
      <x:c r="D15" s="37" t="str">
        <x:v>overcompensation</x:v>
      </x:c>
      <x:c r="E15" s="37" t="str">
        <x:v>과잉보상·증명</x:v>
      </x:c>
      <x:c r="F15" s="41" t="str">
        <x:v>특별함이 위협받을 때, 나는 과잉보상·증명 전략을 사용하는 편입니다.</x:v>
      </x:c>
      <x:c r="G15" s="41" t="str">
        <x:v>당신은 상대에게 우선적으로 선택받고, 다른 사람과 구별되는 소중한 존재라고 느끼는 것을 중요하게 여깁니다. 애정이나 인정 표현이 부족하면 자신이 대체 가능한 사람인지, 충분히 매력적인 사람인지 의심할 수 있습니다.</x:v>
      </x:c>
      <x:c r="H15" s="41" t="str">
        <x:v>더 매력적이고 성공적이며 자랑할 만한 사람이 되어 상대의 선택을 유지하려 할 수 있습니다. 자신을 발전시키는 동력이 되기도 하지만, 특별함을 얻기 위한 경쟁이 되면 자기 가치가 상대의 평가에 묶일 수 있습니다.</x:v>
      </x:c>
      <x:c r="I15" s="41" t="str">
        <x:v>당신은 상대에게 우선적으로 선택받고, 다른 사람과 구별되는 소중한 존재라고 느끼는 것을 중요하게 여깁니다. 애정이나 인정 표현이 부족하면 자신이 대체 가능한 사람인지, 충분히 매력적인 사람인지 의심할 수 있습니다.
더 매력적이고 성공적이며 자랑할 만한 사람이 되어 상대의 선택을 유지하려 할 수 있습니다. 자신을 발전시키는 동력이 되기도 하지만, 특별함을 얻기 위한 경쟁이 되면 자기 가치가 상대의 평가에 묶일 수 있습니다.</x:v>
      </x:c>
      <x:c r="J15" s="32" t="str">
        <x:v>전략의 기능과 단점</x:v>
      </x:c>
    </x:row>
    <x:row r="16">
      <x:c r="A16" s="22" t="str">
        <x:v>특별함|직접 표현·협상</x:v>
      </x:c>
      <x:c r="B16" s="37" t="str">
        <x:v>specialness</x:v>
      </x:c>
      <x:c r="C16" s="37" t="str">
        <x:v>특별함</x:v>
      </x:c>
      <x:c r="D16" s="37" t="str">
        <x:v>direct_communication</x:v>
      </x:c>
      <x:c r="E16" s="37" t="str">
        <x:v>직접 표현·협상</x:v>
      </x:c>
      <x:c r="F16" s="41" t="str">
        <x:v>특별함이 위협받을 때, 나는 직접 표현·협상 전략을 사용하는 편입니다.</x:v>
      </x:c>
      <x:c r="G16" s="41" t="str">
        <x:v>당신은 상대에게 우선적으로 선택받고, 다른 사람과 구별되는 소중한 존재라고 느끼는 것을 중요하게 여깁니다. 애정이나 인정 표현이 부족하면 자신이 대체 가능한 사람인지, 충분히 매력적인 사람인지 의심할 수 있습니다.</x:v>
      </x:c>
      <x:c r="H16" s="41" t="str">
        <x:v>어떤 표현을 받을 때 소중한 존재라고 느끼는지 직접 말하는 편입니다. 상대에게 언제나 자신을 최우선으로 두라고 요구하기보다, 중요한 순간에 필요한 애정과 인정의 방식을 구체적으로 요청하는 것이 좋습니다.</x:v>
      </x:c>
      <x:c r="I16" s="41" t="str">
        <x:v>당신은 상대에게 우선적으로 선택받고, 다른 사람과 구별되는 소중한 존재라고 느끼는 것을 중요하게 여깁니다. 애정이나 인정 표현이 부족하면 자신이 대체 가능한 사람인지, 충분히 매력적인 사람인지 의심할 수 있습니다.
어떤 표현을 받을 때 소중한 존재라고 느끼는지 직접 말하는 편입니다. 상대에게 언제나 자신을 최우선으로 두라고 요구하기보다, 중요한 순간에 필요한 애정과 인정의 방식을 구체적으로 요청하는 것이 좋습니다.</x:v>
      </x:c>
      <x:c r="J16" s="32" t="str">
        <x:v>단점 대신 활용 시 주의점</x:v>
      </x:c>
    </x:row>
    <x:row r="17">
      <x:c r="A17" s="22" t="str">
        <x:v>보호자|반응 유도·통제</x:v>
      </x:c>
      <x:c r="B17" s="37" t="str">
        <x:v>care</x:v>
      </x:c>
      <x:c r="C17" s="37" t="str">
        <x:v>보호자</x:v>
      </x:c>
      <x:c r="D17" s="37" t="str">
        <x:v>protest_control</x:v>
      </x:c>
      <x:c r="E17" s="37" t="str">
        <x:v>반응 유도·통제</x:v>
      </x:c>
      <x:c r="F17" s="41" t="str">
        <x:v>보호자이 위협받을 때, 나는 반응 유도·통제 전략을 사용하는 편입니다.</x:v>
      </x:c>
      <x:c r="G17" s="41" t="str">
        <x:v>당신은 힘들거나 약해진 순간에 상대가 관심을 보이고, 감정을 받아주며, 필요한 도움을 제공하는 것을 중요하게 여깁니다. 돌봄이 부족하면 결국 혼자 감당해야 하거나 자신의 어려움이 중요하지 않다고 느낄 수 있습니다.</x:v>
      </x:c>
      <x:c r="H17" s="41" t="str">
        <x:v>상대가 돌봐주도록 상태를 더 심각하게 표현하거나, 감정을 크게 드러내며 반응을 유도할 수 있습니다. 필요한 관심을 받을 수 있지만 상대가 감정적으로 압박받거나 무엇이 실제로 필요한지 판단하기 어려워질 수 있습니다.</x:v>
      </x:c>
      <x:c r="I17" s="41" t="str">
        <x:v>당신은 힘들거나 약해진 순간에 상대가 관심을 보이고, 감정을 받아주며, 필요한 도움을 제공하는 것을 중요하게 여깁니다. 돌봄이 부족하면 결국 혼자 감당해야 하거나 자신의 어려움이 중요하지 않다고 느낄 수 있습니다.
상대가 돌봐주도록 상태를 더 심각하게 표현하거나, 감정을 크게 드러내며 반응을 유도할 수 있습니다. 필요한 관심을 받을 수 있지만 상대가 감정적으로 압박받거나 무엇이 실제로 필요한지 판단하기 어려워질 수 있습니다.</x:v>
      </x:c>
      <x:c r="J17" s="32" t="str">
        <x:v>전략의 기능과 단점</x:v>
      </x:c>
    </x:row>
    <x:row r="18">
      <x:c r="A18" s="22" t="str">
        <x:v>보호자|확인·감시</x:v>
      </x:c>
      <x:c r="B18" s="37" t="str">
        <x:v>care</x:v>
      </x:c>
      <x:c r="C18" s="37" t="str">
        <x:v>보호자</x:v>
      </x:c>
      <x:c r="D18" s="37" t="str">
        <x:v>reassurance_monitoring</x:v>
      </x:c>
      <x:c r="E18" s="37" t="str">
        <x:v>확인·감시</x:v>
      </x:c>
      <x:c r="F18" s="41" t="str">
        <x:v>보호자이 위협받을 때, 나는 확인·감시 전략을 사용하는 편입니다.</x:v>
      </x:c>
      <x:c r="G18" s="41" t="str">
        <x:v>당신은 힘들거나 약해진 순간에 상대가 관심을 보이고, 감정을 받아주며, 필요한 도움을 제공하는 것을 중요하게 여깁니다. 돌봄이 부족하면 결국 혼자 감당해야 하거나 자신의 어려움이 중요하지 않다고 느낄 수 있습니다.</x:v>
      </x:c>
      <x:c r="H18" s="41" t="str">
        <x:v>상대가 먼저 연락하는지, 자신의 상태를 얼마나 자주 묻는지 확인하며 사랑의 크기를 판단할 수 있습니다. 관심을 확인하면 안심되지만 돌봄이 정해진 방식으로 나타나지 않을 때 사랑 자체를 의심하기 쉬워집니다.</x:v>
      </x:c>
      <x:c r="I18" s="41" t="str">
        <x:v>당신은 힘들거나 약해진 순간에 상대가 관심을 보이고, 감정을 받아주며, 필요한 도움을 제공하는 것을 중요하게 여깁니다. 돌봄이 부족하면 결국 혼자 감당해야 하거나 자신의 어려움이 중요하지 않다고 느낄 수 있습니다.
상대가 먼저 연락하는지, 자신의 상태를 얼마나 자주 묻는지 확인하며 사랑의 크기를 판단할 수 있습니다. 관심을 확인하면 안심되지만 돌봄이 정해진 방식으로 나타나지 않을 때 사랑 자체를 의심하기 쉬워집니다.</x:v>
      </x:c>
      <x:c r="J18" s="32" t="str">
        <x:v>전략의 기능과 단점</x:v>
      </x:c>
    </x:row>
    <x:row r="19">
      <x:c r="A19" s="22" t="str">
        <x:v>보호자|철수·거리두기</x:v>
      </x:c>
      <x:c r="B19" s="37" t="str">
        <x:v>care</x:v>
      </x:c>
      <x:c r="C19" s="37" t="str">
        <x:v>보호자</x:v>
      </x:c>
      <x:c r="D19" s="37" t="str">
        <x:v>withdrawal_protection</x:v>
      </x:c>
      <x:c r="E19" s="37" t="str">
        <x:v>철수·거리두기</x:v>
      </x:c>
      <x:c r="F19" s="41" t="str">
        <x:v>보호자이 위협받을 때, 나는 철수·거리두기 전략을 사용하는 편입니다.</x:v>
      </x:c>
      <x:c r="G19" s="41" t="str">
        <x:v>당신은 힘들거나 약해진 순간에 상대가 관심을 보이고, 감정을 받아주며, 필요한 도움을 제공하는 것을 중요하게 여깁니다. 돌봄이 부족하면 결국 혼자 감당해야 하거나 자신의 어려움이 중요하지 않다고 느낄 수 있습니다.</x:v>
      </x:c>
      <x:c r="H19" s="41" t="str">
        <x:v>필요할 때 도움받지 못하면 다시는 약한 모습을 보이지 않고 모든 일을 혼자 감당하려 할 수 있습니다. 실망은 피할 수 있지만, 돌봄을 주고받으며 관계가 깊어질 기회도 함께 차단됩니다.</x:v>
      </x:c>
      <x:c r="I19" s="41" t="str">
        <x:v>당신은 힘들거나 약해진 순간에 상대가 관심을 보이고, 감정을 받아주며, 필요한 도움을 제공하는 것을 중요하게 여깁니다. 돌봄이 부족하면 결국 혼자 감당해야 하거나 자신의 어려움이 중요하지 않다고 느낄 수 있습니다.
필요할 때 도움받지 못하면 다시는 약한 모습을 보이지 않고 모든 일을 혼자 감당하려 할 수 있습니다. 실망은 피할 수 있지만, 돌봄을 주고받으며 관계가 깊어질 기회도 함께 차단됩니다.</x:v>
      </x:c>
      <x:c r="J19" s="32" t="str">
        <x:v>전략의 기능과 단점</x:v>
      </x:c>
    </x:row>
    <x:row r="20">
      <x:c r="A20" s="22" t="str">
        <x:v>보호자|과잉보상·증명</x:v>
      </x:c>
      <x:c r="B20" s="37" t="str">
        <x:v>care</x:v>
      </x:c>
      <x:c r="C20" s="37" t="str">
        <x:v>보호자</x:v>
      </x:c>
      <x:c r="D20" s="37" t="str">
        <x:v>overcompensation</x:v>
      </x:c>
      <x:c r="E20" s="37" t="str">
        <x:v>과잉보상·증명</x:v>
      </x:c>
      <x:c r="F20" s="41" t="str">
        <x:v>보호자이 위협받을 때, 나는 과잉보상·증명 전략을 사용하는 편입니다.</x:v>
      </x:c>
      <x:c r="G20" s="41" t="str">
        <x:v>당신은 힘들거나 약해진 순간에 상대가 관심을 보이고, 감정을 받아주며, 필요한 도움을 제공하는 것을 중요하게 여깁니다. 돌봄이 부족하면 결국 혼자 감당해야 하거나 자신의 어려움이 중요하지 않다고 느낄 수 있습니다.</x:v>
      </x:c>
      <x:c r="H20" s="41" t="str">
        <x:v>자신이 더 강하고 독립적인 사람이 되거나, 반대로 상대의 모든 문제를 대신 해결하며 꼭 필요한 사람이 되려 할 수 있습니다. 역할을 잘 수행해도 정작 자신의 어려움은 돌봄받지 못한 채 쌓일 수 있습니다.</x:v>
      </x:c>
      <x:c r="I20" s="41" t="str">
        <x:v>당신은 힘들거나 약해진 순간에 상대가 관심을 보이고, 감정을 받아주며, 필요한 도움을 제공하는 것을 중요하게 여깁니다. 돌봄이 부족하면 결국 혼자 감당해야 하거나 자신의 어려움이 중요하지 않다고 느낄 수 있습니다.
자신이 더 강하고 독립적인 사람이 되거나, 반대로 상대의 모든 문제를 대신 해결하며 꼭 필요한 사람이 되려 할 수 있습니다. 역할을 잘 수행해도 정작 자신의 어려움은 돌봄받지 못한 채 쌓일 수 있습니다.</x:v>
      </x:c>
      <x:c r="J20" s="32" t="str">
        <x:v>전략의 기능과 단점</x:v>
      </x:c>
    </x:row>
    <x:row r="21">
      <x:c r="A21" s="22" t="str">
        <x:v>보호자|직접 표현·협상</x:v>
      </x:c>
      <x:c r="B21" s="37" t="str">
        <x:v>care</x:v>
      </x:c>
      <x:c r="C21" s="37" t="str">
        <x:v>보호자</x:v>
      </x:c>
      <x:c r="D21" s="37" t="str">
        <x:v>direct_communication</x:v>
      </x:c>
      <x:c r="E21" s="37" t="str">
        <x:v>직접 표현·협상</x:v>
      </x:c>
      <x:c r="F21" s="41" t="str">
        <x:v>보호자이 위협받을 때, 나는 직접 표현·협상 전략을 사용하는 편입니다.</x:v>
      </x:c>
      <x:c r="G21" s="41" t="str">
        <x:v>당신은 힘들거나 약해진 순간에 상대가 관심을 보이고, 감정을 받아주며, 필요한 도움을 제공하는 것을 중요하게 여깁니다. 돌봄이 부족하면 결국 혼자 감당해야 하거나 자신의 어려움이 중요하지 않다고 느낄 수 있습니다.</x:v>
      </x:c>
      <x:c r="H21" s="41" t="str">
        <x:v>현재 느끼는 감정과 필요한 도움을 구체적으로 말하고, 상대가 가능한 방식도 함께 고려하는 편입니다. 돌봄을 사랑의 의무로 만들지 않고 도움의 범위와 서로의 한계를 조율하는 것이 중요합니다.</x:v>
      </x:c>
      <x:c r="I21" s="41" t="str">
        <x:v>당신은 힘들거나 약해진 순간에 상대가 관심을 보이고, 감정을 받아주며, 필요한 도움을 제공하는 것을 중요하게 여깁니다. 돌봄이 부족하면 결국 혼자 감당해야 하거나 자신의 어려움이 중요하지 않다고 느낄 수 있습니다.
현재 느끼는 감정과 필요한 도움을 구체적으로 말하고, 상대가 가능한 방식도 함께 고려하는 편입니다. 돌봄을 사랑의 의무로 만들지 않고 도움의 범위와 서로의 한계를 조율하는 것이 중요합니다.</x:v>
      </x:c>
      <x:c r="J21" s="32" t="str">
        <x:v>단점 대신 활용 시 주의점</x:v>
      </x:c>
    </x:row>
    <x:row r="22">
      <x:c r="A22" s="22" t="str">
        <x:v>독립심|반응 유도·통제</x:v>
      </x:c>
      <x:c r="B22" s="37" t="str">
        <x:v>autonomy</x:v>
      </x:c>
      <x:c r="C22" s="37" t="str">
        <x:v>독립심</x:v>
      </x:c>
      <x:c r="D22" s="37" t="str">
        <x:v>protest_control</x:v>
      </x:c>
      <x:c r="E22" s="37" t="str">
        <x:v>반응 유도·통제</x:v>
      </x:c>
      <x:c r="F22" s="41" t="str">
        <x:v>독립심이 위협받을 때, 나는 반응 유도·통제 전략을 사용하는 편입니다.</x:v>
      </x:c>
      <x:c r="G22" s="41" t="str">
        <x:v>당신은 연애 중에도 자신의 선택권, 속도, 개인적인 시간과 공간을 유지하는 것을 중요하게 여깁니다. 상대가 재촉하거나 간섭하면 관심보다는 통제와 불신으로 받아들일 수 있습니다.</x:v>
      </x:c>
      <x:c r="H22" s="41" t="str">
        <x:v>자율성을 지키기 위해 상대의 의견과 반대로 행동하거나, 연락을 끊고 일정을 숨길 수 있습니다. 순간적으로 통제권을 되찾을 수 있지만 선택이 자신의 필요보다 상대에 대한 반발에 의해 결정될 수 있습니다.</x:v>
      </x:c>
      <x:c r="I22" s="41" t="str">
        <x:v>당신은 연애 중에도 자신의 선택권, 속도, 개인적인 시간과 공간을 유지하는 것을 중요하게 여깁니다. 상대가 재촉하거나 간섭하면 관심보다는 통제와 불신으로 받아들일 수 있습니다.
자율성을 지키기 위해 상대의 의견과 반대로 행동하거나, 연락을 끊고 일정을 숨길 수 있습니다. 순간적으로 통제권을 되찾을 수 있지만 선택이 자신의 필요보다 상대에 대한 반발에 의해 결정될 수 있습니다.</x:v>
      </x:c>
      <x:c r="J22" s="32" t="str">
        <x:v>전략의 기능과 단점</x:v>
      </x:c>
    </x:row>
    <x:row r="23">
      <x:c r="A23" s="22" t="str">
        <x:v>독립심|확인·감시</x:v>
      </x:c>
      <x:c r="B23" s="37" t="str">
        <x:v>autonomy</x:v>
      </x:c>
      <x:c r="C23" s="37" t="str">
        <x:v>독립심</x:v>
      </x:c>
      <x:c r="D23" s="37" t="str">
        <x:v>reassurance_monitoring</x:v>
      </x:c>
      <x:c r="E23" s="37" t="str">
        <x:v>확인·감시</x:v>
      </x:c>
      <x:c r="F23" s="41" t="str">
        <x:v>독립심이 위협받을 때, 나는 확인·감시 전략을 사용하는 편입니다.</x:v>
      </x:c>
      <x:c r="G23" s="41" t="str">
        <x:v>당신은 연애 중에도 자신의 선택권, 속도, 개인적인 시간과 공간을 유지하는 것을 중요하게 여깁니다. 상대가 재촉하거나 간섭하면 관심보다는 통제와 불신으로 받아들일 수 있습니다.</x:v>
      </x:c>
      <x:c r="H23" s="41" t="str">
        <x:v>상대의 허락과 반응을 계속 확인하거나, 불안해하지 않도록 자신의 위치와 일정을 지나치게 보고할 수 있습니다. 갈등은 줄어들 수 있지만 자신의 선택권을 스스로 포기하고 관계에 답답함을 느끼게 될 수 있습니다.</x:v>
      </x:c>
      <x:c r="I23" s="41" t="str">
        <x:v>당신은 연애 중에도 자신의 선택권, 속도, 개인적인 시간과 공간을 유지하는 것을 중요하게 여깁니다. 상대가 재촉하거나 간섭하면 관심보다는 통제와 불신으로 받아들일 수 있습니다.
상대의 허락과 반응을 계속 확인하거나, 불안해하지 않도록 자신의 위치와 일정을 지나치게 보고할 수 있습니다. 갈등은 줄어들 수 있지만 자신의 선택권을 스스로 포기하고 관계에 답답함을 느끼게 될 수 있습니다.</x:v>
      </x:c>
      <x:c r="J23" s="32" t="str">
        <x:v>전략의 기능과 단점</x:v>
      </x:c>
    </x:row>
    <x:row r="24">
      <x:c r="A24" s="22" t="str">
        <x:v>독립심|철수·거리두기</x:v>
      </x:c>
      <x:c r="B24" s="37" t="str">
        <x:v>autonomy</x:v>
      </x:c>
      <x:c r="C24" s="37" t="str">
        <x:v>독립심</x:v>
      </x:c>
      <x:c r="D24" s="37" t="str">
        <x:v>withdrawal_protection</x:v>
      </x:c>
      <x:c r="E24" s="37" t="str">
        <x:v>철수·거리두기</x:v>
      </x:c>
      <x:c r="F24" s="41" t="str">
        <x:v>독립심이 위협받을 때, 나는 철수·거리두기 전략을 사용하는 편입니다.</x:v>
      </x:c>
      <x:c r="G24" s="41" t="str">
        <x:v>당신은 연애 중에도 자신의 선택권, 속도, 개인적인 시간과 공간을 유지하는 것을 중요하게 여깁니다. 상대가 재촉하거나 간섭하면 관심보다는 통제와 불신으로 받아들일 수 있습니다.</x:v>
      </x:c>
      <x:c r="H24" s="41" t="str">
        <x:v>통제받는다고 느끼면 설명하기보다 정서적·물리적으로 멀어질 수 있습니다. 개인 공간은 확보되지만 상대는 갑작스러운 단절로 느끼고 불안과 간섭을 더 강화할 수 있습니다.</x:v>
      </x:c>
      <x:c r="I24" s="41" t="str">
        <x:v>당신은 연애 중에도 자신의 선택권, 속도, 개인적인 시간과 공간을 유지하는 것을 중요하게 여깁니다. 상대가 재촉하거나 간섭하면 관심보다는 통제와 불신으로 받아들일 수 있습니다.
통제받는다고 느끼면 설명하기보다 정서적·물리적으로 멀어질 수 있습니다. 개인 공간은 확보되지만 상대는 갑작스러운 단절로 느끼고 불안과 간섭을 더 강화할 수 있습니다.</x:v>
      </x:c>
      <x:c r="J24" s="32" t="str">
        <x:v>전략의 기능과 단점</x:v>
      </x:c>
    </x:row>
    <x:row r="25">
      <x:c r="A25" s="22" t="str">
        <x:v>독립심|과잉보상·증명</x:v>
      </x:c>
      <x:c r="B25" s="37" t="str">
        <x:v>autonomy</x:v>
      </x:c>
      <x:c r="C25" s="37" t="str">
        <x:v>독립심</x:v>
      </x:c>
      <x:c r="D25" s="37" t="str">
        <x:v>overcompensation</x:v>
      </x:c>
      <x:c r="E25" s="37" t="str">
        <x:v>과잉보상·증명</x:v>
      </x:c>
      <x:c r="F25" s="41" t="str">
        <x:v>독립심이 위협받을 때, 나는 과잉보상·증명 전략을 사용하는 편입니다.</x:v>
      </x:c>
      <x:c r="G25" s="41" t="str">
        <x:v>당신은 연애 중에도 자신의 선택권, 속도, 개인적인 시간과 공간을 유지하는 것을 중요하게 여깁니다. 상대가 재촉하거나 간섭하면 관심보다는 통제와 불신으로 받아들일 수 있습니다.</x:v>
      </x:c>
      <x:c r="H25" s="41" t="str">
        <x:v>혼자서도 충분히 잘 지낼 수 있다는 것을 보여주기 위해 도움을 거절하고 더 독립적으로 행동할 수 있습니다. 능력을 지키는 데는 도움이 되지만 친밀감까지 의존이나 약함으로 여길 위험이 있습니다.</x:v>
      </x:c>
      <x:c r="I25" s="41" t="str">
        <x:v>당신은 연애 중에도 자신의 선택권, 속도, 개인적인 시간과 공간을 유지하는 것을 중요하게 여깁니다. 상대가 재촉하거나 간섭하면 관심보다는 통제와 불신으로 받아들일 수 있습니다.
혼자서도 충분히 잘 지낼 수 있다는 것을 보여주기 위해 도움을 거절하고 더 독립적으로 행동할 수 있습니다. 능력을 지키는 데는 도움이 되지만 친밀감까지 의존이나 약함으로 여길 위험이 있습니다.</x:v>
      </x:c>
      <x:c r="J25" s="32" t="str">
        <x:v>전략의 기능과 단점</x:v>
      </x:c>
    </x:row>
    <x:row r="26">
      <x:c r="A26" s="22" t="str">
        <x:v>독립심|직접 표현·협상</x:v>
      </x:c>
      <x:c r="B26" s="37" t="str">
        <x:v>autonomy</x:v>
      </x:c>
      <x:c r="C26" s="37" t="str">
        <x:v>독립심</x:v>
      </x:c>
      <x:c r="D26" s="37" t="str">
        <x:v>direct_communication</x:v>
      </x:c>
      <x:c r="E26" s="37" t="str">
        <x:v>직접 표현·협상</x:v>
      </x:c>
      <x:c r="F26" s="41" t="str">
        <x:v>독립심이 위협받을 때, 나는 직접 표현·협상 전략을 사용하는 편입니다.</x:v>
      </x:c>
      <x:c r="G26" s="41" t="str">
        <x:v>당신은 연애 중에도 자신의 선택권, 속도, 개인적인 시간과 공간을 유지하는 것을 중요하게 여깁니다. 상대가 재촉하거나 간섭하면 관심보다는 통제와 불신으로 받아들일 수 있습니다.</x:v>
      </x:c>
      <x:c r="H26" s="41" t="str">
        <x:v>함께하는 시간과 각자의 시간을 구체적으로 나누고, 존중받아야 할 경계를 직접 설명하는 편입니다. 독립을 일방적인 거리두기로 사용하지 않고 상대의 연결 욕구도 함께 고려해야 합니다.</x:v>
      </x:c>
      <x:c r="I26" s="41" t="str">
        <x:v>당신은 연애 중에도 자신의 선택권, 속도, 개인적인 시간과 공간을 유지하는 것을 중요하게 여깁니다. 상대가 재촉하거나 간섭하면 관심보다는 통제와 불신으로 받아들일 수 있습니다.
함께하는 시간과 각자의 시간을 구체적으로 나누고, 존중받아야 할 경계를 직접 설명하는 편입니다. 독립을 일방적인 거리두기로 사용하지 않고 상대의 연결 욕구도 함께 고려해야 합니다.</x:v>
      </x:c>
      <x:c r="J26" s="32" t="str">
        <x:v>단점 대신 활용 시 주의점</x:v>
      </x:c>
    </x:row>
    <x:row r="27">
      <x:c r="A27" s="22" t="str">
        <x:v>유능함|반응 유도·통제</x:v>
      </x:c>
      <x:c r="B27" s="37" t="str">
        <x:v>competence</x:v>
      </x:c>
      <x:c r="C27" s="37" t="str">
        <x:v>유능함</x:v>
      </x:c>
      <x:c r="D27" s="37" t="str">
        <x:v>protest_control</x:v>
      </x:c>
      <x:c r="E27" s="37" t="str">
        <x:v>반응 유도·통제</x:v>
      </x:c>
      <x:c r="F27" s="41" t="str">
        <x:v>유능함이 위협받을 때, 나는 반응 유도·통제 전략을 사용하는 편입니다.</x:v>
      </x:c>
      <x:c r="G27" s="41" t="str">
        <x:v>당신은 자신의 판단, 능력, 노력과 기여가 상대에게 신뢰받고 가치 있게 받아들여지는 것을 중요하게 여깁니다. 의견이 무시되거나 도움이 필요하지 않다는 느낌이 들면 자신의 관계적 가치까지 작아졌다고 느낄 수 있습니다.</x:v>
      </x:c>
      <x:c r="H27" s="41" t="str">
        <x:v>상대의 결정에 더 강하게 개입하거나 반드시 자신의 의견을 따르게 하며 영향력을 확인하려 할 수 있습니다. 의견이 반영되면 유능함을 느끼지만, 상대는 조언보다 통제로 받아들일 수 있습니다.</x:v>
      </x:c>
      <x:c r="I27" s="41" t="str">
        <x:v>당신은 자신의 판단, 능력, 노력과 기여가 상대에게 신뢰받고 가치 있게 받아들여지는 것을 중요하게 여깁니다. 의견이 무시되거나 도움이 필요하지 않다는 느낌이 들면 자신의 관계적 가치까지 작아졌다고 느낄 수 있습니다.
상대의 결정에 더 강하게 개입하거나 반드시 자신의 의견을 따르게 하며 영향력을 확인하려 할 수 있습니다. 의견이 반영되면 유능함을 느끼지만, 상대는 조언보다 통제로 받아들일 수 있습니다.</x:v>
      </x:c>
      <x:c r="J27" s="32" t="str">
        <x:v>전략의 기능과 단점</x:v>
      </x:c>
    </x:row>
    <x:row r="28">
      <x:c r="A28" s="22" t="str">
        <x:v>유능함|확인·감시</x:v>
      </x:c>
      <x:c r="B28" s="37" t="str">
        <x:v>competence</x:v>
      </x:c>
      <x:c r="C28" s="37" t="str">
        <x:v>유능함</x:v>
      </x:c>
      <x:c r="D28" s="37" t="str">
        <x:v>reassurance_monitoring</x:v>
      </x:c>
      <x:c r="E28" s="37" t="str">
        <x:v>확인·감시</x:v>
      </x:c>
      <x:c r="F28" s="41" t="str">
        <x:v>유능함이 위협받을 때, 나는 확인·감시 전략을 사용하는 편입니다.</x:v>
      </x:c>
      <x:c r="G28" s="41" t="str">
        <x:v>당신은 자신의 판단, 능력, 노력과 기여가 상대에게 신뢰받고 가치 있게 받아들여지는 것을 중요하게 여깁니다. 의견이 무시되거나 도움이 필요하지 않다는 느낌이 들면 자신의 관계적 가치까지 작아졌다고 느낄 수 있습니다.</x:v>
      </x:c>
      <x:c r="H28" s="41" t="str">
        <x:v>결정하기 전에 상대의 허락과 평가를 반복해서 확인하거나 자신의 기여가 도움이 되었는지 계속 묻는 경향이 나타날 수 있습니다. 인정받으면 안심되지만 스스로 판단하는 힘이 상대의 승인에 의존하게 될 수 있습니다.</x:v>
      </x:c>
      <x:c r="I28" s="41" t="str">
        <x:v>당신은 자신의 판단, 능력, 노력과 기여가 상대에게 신뢰받고 가치 있게 받아들여지는 것을 중요하게 여깁니다. 의견이 무시되거나 도움이 필요하지 않다는 느낌이 들면 자신의 관계적 가치까지 작아졌다고 느낄 수 있습니다.
결정하기 전에 상대의 허락과 평가를 반복해서 확인하거나 자신의 기여가 도움이 되었는지 계속 묻는 경향이 나타날 수 있습니다. 인정받으면 안심되지만 스스로 판단하는 힘이 상대의 승인에 의존하게 될 수 있습니다.</x:v>
      </x:c>
      <x:c r="J28" s="32" t="str">
        <x:v>전략의 기능과 단점</x:v>
      </x:c>
    </x:row>
    <x:row r="29">
      <x:c r="A29" s="22" t="str">
        <x:v>유능함|철수·거리두기</x:v>
      </x:c>
      <x:c r="B29" s="37" t="str">
        <x:v>competence</x:v>
      </x:c>
      <x:c r="C29" s="37" t="str">
        <x:v>유능함</x:v>
      </x:c>
      <x:c r="D29" s="37" t="str">
        <x:v>withdrawal_protection</x:v>
      </x:c>
      <x:c r="E29" s="37" t="str">
        <x:v>철수·거리두기</x:v>
      </x:c>
      <x:c r="F29" s="41" t="str">
        <x:v>유능함이 위협받을 때, 나는 철수·거리두기 전략을 사용하는 편입니다.</x:v>
      </x:c>
      <x:c r="G29" s="41" t="str">
        <x:v>당신은 자신의 판단, 능력, 노력과 기여가 상대에게 신뢰받고 가치 있게 받아들여지는 것을 중요하게 여깁니다. 의견이 무시되거나 도움이 필요하지 않다는 느낌이 들면 자신의 관계적 가치까지 작아졌다고 느낄 수 있습니다.</x:v>
      </x:c>
      <x:c r="H29" s="41" t="str">
        <x:v>의견이 받아들여지지 않으면 더 이상 조언하거나 돕지 않고 관계에서 역할을 줄일 수 있습니다. 무시당하는 경험은 피할 수 있지만 자신의 생각과 능력이 실제로 공유될 기회도 사라집니다.</x:v>
      </x:c>
      <x:c r="I29" s="41" t="str">
        <x:v>당신은 자신의 판단, 능력, 노력과 기여가 상대에게 신뢰받고 가치 있게 받아들여지는 것을 중요하게 여깁니다. 의견이 무시되거나 도움이 필요하지 않다는 느낌이 들면 자신의 관계적 가치까지 작아졌다고 느낄 수 있습니다.
의견이 받아들여지지 않으면 더 이상 조언하거나 돕지 않고 관계에서 역할을 줄일 수 있습니다. 무시당하는 경험은 피할 수 있지만 자신의 생각과 능력이 실제로 공유될 기회도 사라집니다.</x:v>
      </x:c>
      <x:c r="J29" s="32" t="str">
        <x:v>전략의 기능과 단점</x:v>
      </x:c>
    </x:row>
    <x:row r="30">
      <x:c r="A30" s="22" t="str">
        <x:v>유능함|과잉보상·증명</x:v>
      </x:c>
      <x:c r="B30" s="37" t="str">
        <x:v>competence</x:v>
      </x:c>
      <x:c r="C30" s="37" t="str">
        <x:v>유능함</x:v>
      </x:c>
      <x:c r="D30" s="37" t="str">
        <x:v>overcompensation</x:v>
      </x:c>
      <x:c r="E30" s="37" t="str">
        <x:v>과잉보상·증명</x:v>
      </x:c>
      <x:c r="F30" s="41" t="str">
        <x:v>유능함이 위협받을 때, 나는 과잉보상·증명 전략을 사용하는 편입니다.</x:v>
      </x:c>
      <x:c r="G30" s="41" t="str">
        <x:v>당신은 자신의 판단, 능력, 노력과 기여가 상대에게 신뢰받고 가치 있게 받아들여지는 것을 중요하게 여깁니다. 의견이 무시되거나 도움이 필요하지 않다는 느낌이 들면 자신의 관계적 가치까지 작아졌다고 느낄 수 있습니다.</x:v>
      </x:c>
      <x:c r="H30" s="41" t="str">
        <x:v>더 큰 성과를 내거나 모든 문제를 해결해 자신의 가치를 입증하려 할 수 있습니다. 능력은 발전할 수 있지만 실패를 허용하지 못하고, 사랑받기 위해 항상 유능해야 한다는 부담이 커질 수 있습니다.</x:v>
      </x:c>
      <x:c r="I30" s="41" t="str">
        <x:v>당신은 자신의 판단, 능력, 노력과 기여가 상대에게 신뢰받고 가치 있게 받아들여지는 것을 중요하게 여깁니다. 의견이 무시되거나 도움이 필요하지 않다는 느낌이 들면 자신의 관계적 가치까지 작아졌다고 느낄 수 있습니다.
더 큰 성과를 내거나 모든 문제를 해결해 자신의 가치를 입증하려 할 수 있습니다. 능력은 발전할 수 있지만 실패를 허용하지 못하고, 사랑받기 위해 항상 유능해야 한다는 부담이 커질 수 있습니다.</x:v>
      </x:c>
      <x:c r="J30" s="32" t="str">
        <x:v>전략의 기능과 단점</x:v>
      </x:c>
    </x:row>
    <x:row r="31">
      <x:c r="A31" s="22" t="str">
        <x:v>유능함|직접 표현·협상</x:v>
      </x:c>
      <x:c r="B31" s="37" t="str">
        <x:v>competence</x:v>
      </x:c>
      <x:c r="C31" s="37" t="str">
        <x:v>유능함</x:v>
      </x:c>
      <x:c r="D31" s="37" t="str">
        <x:v>direct_communication</x:v>
      </x:c>
      <x:c r="E31" s="37" t="str">
        <x:v>직접 표현·협상</x:v>
      </x:c>
      <x:c r="F31" s="41" t="str">
        <x:v>유능함이 위협받을 때, 나는 직접 표현·협상 전략을 사용하는 편입니다.</x:v>
      </x:c>
      <x:c r="G31" s="41" t="str">
        <x:v>당신은 자신의 판단, 능력, 노력과 기여가 상대에게 신뢰받고 가치 있게 받아들여지는 것을 중요하게 여깁니다. 의견이 무시되거나 도움이 필요하지 않다는 느낌이 들면 자신의 관계적 가치까지 작아졌다고 느낄 수 있습니다.</x:v>
      </x:c>
      <x:c r="H31" s="41" t="str">
        <x:v>자신의 의견이 반드시 채택되기보다 진지하게 고려되고, 노력과 기여가 인정되기를 바란다고 말하는 편입니다. 인정 요청과 결정권 요구를 구분하고 상대의 최종 선택도 존중하는 것이 중요합니다.</x:v>
      </x:c>
      <x:c r="I31" s="41" t="str">
        <x:v>당신은 자신의 판단, 능력, 노력과 기여가 상대에게 신뢰받고 가치 있게 받아들여지는 것을 중요하게 여깁니다. 의견이 무시되거나 도움이 필요하지 않다는 느낌이 들면 자신의 관계적 가치까지 작아졌다고 느낄 수 있습니다.
자신의 의견이 반드시 채택되기보다 진지하게 고려되고, 노력과 기여가 인정되기를 바란다고 말하는 편입니다. 인정 요청과 결정권 요구를 구분하고 상대의 최종 선택도 존중하는 것이 중요합니다.</x:v>
      </x:c>
      <x:c r="J31" s="32" t="str">
        <x:v>단점 대신 활용 시 주의점</x:v>
      </x:c>
    </x:row>
    <x:row r="32">
      <x:c r="A32" s="22" t="str">
        <x:v>성장·발전형|반응 유도·통제</x:v>
      </x:c>
      <x:c r="B32" s="37" t="str">
        <x:v>growth</x:v>
      </x:c>
      <x:c r="C32" s="37" t="str">
        <x:v>성장·발전형</x:v>
      </x:c>
      <x:c r="D32" s="37" t="str">
        <x:v>protest_control</x:v>
      </x:c>
      <x:c r="E32" s="37" t="str">
        <x:v>반응 유도·통제</x:v>
      </x:c>
      <x:c r="F32" s="41" t="str">
        <x:v>성장·발전형이 위협받을 때, 나는 반응 유도·통제 전략을 사용하는 편입니다.</x:v>
      </x:c>
      <x:c r="G32" s="41" t="str">
        <x:v>당신은 관계를 통해 새로운 경험을 하고, 서로의 가능성을 넓히며 함께 발전하는 것을 중요하게 여깁니다. 관계가 반복되고 정체되거나 자신의 도전이 지지받지 못하면 둘의 방향이 달라지고 있다고 느낄 수 있습니다.</x:v>
      </x:c>
      <x:c r="H32" s="41" t="str">
        <x:v>상대가 새로운 활동에 참여하도록 계속 설득하거나, 함께 성장해야 한다는 압박을 줄 수 있습니다. 공동 경험은 만들 수 있지만 상대가 자신의 속도와 관심사를 존중받지 못한다고 느낄 수 있습니다.</x:v>
      </x:c>
      <x:c r="I32" s="41" t="str">
        <x:v>당신은 관계를 통해 새로운 경험을 하고, 서로의 가능성을 넓히며 함께 발전하는 것을 중요하게 여깁니다. 관계가 반복되고 정체되거나 자신의 도전이 지지받지 못하면 둘의 방향이 달라지고 있다고 느낄 수 있습니다.
상대가 새로운 활동에 참여하도록 계속 설득하거나, 함께 성장해야 한다는 압박을 줄 수 있습니다. 공동 경험은 만들 수 있지만 상대가 자신의 속도와 관심사를 존중받지 못한다고 느낄 수 있습니다.</x:v>
      </x:c>
      <x:c r="J32" s="32" t="str">
        <x:v>전략의 기능과 단점</x:v>
      </x:c>
    </x:row>
    <x:row r="33">
      <x:c r="A33" s="22" t="str">
        <x:v>성장·발전형|확인·감시</x:v>
      </x:c>
      <x:c r="B33" s="37" t="str">
        <x:v>growth</x:v>
      </x:c>
      <x:c r="C33" s="37" t="str">
        <x:v>성장·발전형</x:v>
      </x:c>
      <x:c r="D33" s="37" t="str">
        <x:v>reassurance_monitoring</x:v>
      </x:c>
      <x:c r="E33" s="37" t="str">
        <x:v>확인·감시</x:v>
      </x:c>
      <x:c r="F33" s="41" t="str">
        <x:v>성장·발전형이 위협받을 때, 나는 확인·감시 전략을 사용하는 편입니다.</x:v>
      </x:c>
      <x:c r="G33" s="41" t="str">
        <x:v>당신은 관계를 통해 새로운 경험을 하고, 서로의 가능성을 넓히며 함께 발전하는 것을 중요하게 여깁니다. 관계가 반복되고 정체되거나 자신의 도전이 지지받지 못하면 둘의 방향이 달라지고 있다고 느낄 수 있습니다.</x:v>
      </x:c>
      <x:c r="H33" s="41" t="str">
        <x:v>상대가 자신의 도전에 얼마나 관심을 보이는지, 다른 사람과의 활동에 질투하는지 확인하며 관계의 활력을 판단할 수 있습니다. 반응을 확인하는 데 집중하면 도전 자체의 즐거움보다 상대의 평가가 더 중요해질 수 있습니다.</x:v>
      </x:c>
      <x:c r="I33" s="41" t="str">
        <x:v>당신은 관계를 통해 새로운 경험을 하고, 서로의 가능성을 넓히며 함께 발전하는 것을 중요하게 여깁니다. 관계가 반복되고 정체되거나 자신의 도전이 지지받지 못하면 둘의 방향이 달라지고 있다고 느낄 수 있습니다.
상대가 자신의 도전에 얼마나 관심을 보이는지, 다른 사람과의 활동에 질투하는지 확인하며 관계의 활력을 판단할 수 있습니다. 반응을 확인하는 데 집중하면 도전 자체의 즐거움보다 상대의 평가가 더 중요해질 수 있습니다.</x:v>
      </x:c>
      <x:c r="J33" s="32" t="str">
        <x:v>전략의 기능과 단점</x:v>
      </x:c>
    </x:row>
    <x:row r="34">
      <x:c r="A34" s="22" t="str">
        <x:v>성장·발전형|철수·거리두기</x:v>
      </x:c>
      <x:c r="B34" s="37" t="str">
        <x:v>growth</x:v>
      </x:c>
      <x:c r="C34" s="37" t="str">
        <x:v>성장·발전형</x:v>
      </x:c>
      <x:c r="D34" s="37" t="str">
        <x:v>withdrawal_protection</x:v>
      </x:c>
      <x:c r="E34" s="37" t="str">
        <x:v>철수·거리두기</x:v>
      </x:c>
      <x:c r="F34" s="41" t="str">
        <x:v>성장·발전형이 위협받을 때, 나는 철수·거리두기 전략을 사용하는 편입니다.</x:v>
      </x:c>
      <x:c r="G34" s="41" t="str">
        <x:v>당신은 관계를 통해 새로운 경험을 하고, 서로의 가능성을 넓히며 함께 발전하는 것을 중요하게 여깁니다. 관계가 반복되고 정체되거나 자신의 도전이 지지받지 못하면 둘의 방향이 달라지고 있다고 느낄 수 있습니다.</x:v>
      </x:c>
      <x:c r="H34" s="41" t="str">
        <x:v>함께 발전하지 못한다고 느끼면 관계에 미래가 없다고 판단하고 마음을 거둘 수 있습니다. 자신의 성장 욕구를 지킬 수 있지만, 서로 다른 방식으로도 성장할 수 있다는 가능성을 놓칠 수 있습니다.</x:v>
      </x:c>
      <x:c r="I34" s="41" t="str">
        <x:v>당신은 관계를 통해 새로운 경험을 하고, 서로의 가능성을 넓히며 함께 발전하는 것을 중요하게 여깁니다. 관계가 반복되고 정체되거나 자신의 도전이 지지받지 못하면 둘의 방향이 달라지고 있다고 느낄 수 있습니다.
함께 발전하지 못한다고 느끼면 관계에 미래가 없다고 판단하고 마음을 거둘 수 있습니다. 자신의 성장 욕구를 지킬 수 있지만, 서로 다른 방식으로도 성장할 수 있다는 가능성을 놓칠 수 있습니다.</x:v>
      </x:c>
      <x:c r="J34" s="32" t="str">
        <x:v>전략의 기능과 단점</x:v>
      </x:c>
    </x:row>
    <x:row r="35">
      <x:c r="A35" s="22" t="str">
        <x:v>성장·발전형|과잉보상·증명</x:v>
      </x:c>
      <x:c r="B35" s="37" t="str">
        <x:v>growth</x:v>
      </x:c>
      <x:c r="C35" s="37" t="str">
        <x:v>성장·발전형</x:v>
      </x:c>
      <x:c r="D35" s="37" t="str">
        <x:v>overcompensation</x:v>
      </x:c>
      <x:c r="E35" s="37" t="str">
        <x:v>과잉보상·증명</x:v>
      </x:c>
      <x:c r="F35" s="41" t="str">
        <x:v>성장·발전형이 위협받을 때, 나는 과잉보상·증명 전략을 사용하는 편입니다.</x:v>
      </x:c>
      <x:c r="G35" s="41" t="str">
        <x:v>당신은 관계를 통해 새로운 경험을 하고, 서로의 가능성을 넓히며 함께 발전하는 것을 중요하게 여깁니다. 관계가 반복되고 정체되거나 자신의 도전이 지지받지 못하면 둘의 방향이 달라지고 있다고 느낄 수 있습니다.</x:v>
      </x:c>
      <x:c r="H35" s="41" t="str">
        <x:v>상대가 따라오도록 더 큰 성과를 내거나, 자신이 더 발전된 사람임을 보여주려 할 수 있습니다. 개인적 성취는 늘어날 수 있지만 관계가 협력보다 비교와 경쟁의 장이 될 수 있습니다.</x:v>
      </x:c>
      <x:c r="I35" s="41" t="str">
        <x:v>당신은 관계를 통해 새로운 경험을 하고, 서로의 가능성을 넓히며 함께 발전하는 것을 중요하게 여깁니다. 관계가 반복되고 정체되거나 자신의 도전이 지지받지 못하면 둘의 방향이 달라지고 있다고 느낄 수 있습니다.
상대가 따라오도록 더 큰 성과를 내거나, 자신이 더 발전된 사람임을 보여주려 할 수 있습니다. 개인적 성취는 늘어날 수 있지만 관계가 협력보다 비교와 경쟁의 장이 될 수 있습니다.</x:v>
      </x:c>
      <x:c r="J35" s="32" t="str">
        <x:v>전략의 기능과 단점</x:v>
      </x:c>
    </x:row>
    <x:row r="36">
      <x:c r="A36" s="22" t="str">
        <x:v>성장·발전형|직접 표현·협상</x:v>
      </x:c>
      <x:c r="B36" s="37" t="str">
        <x:v>growth</x:v>
      </x:c>
      <x:c r="C36" s="37" t="str">
        <x:v>성장·발전형</x:v>
      </x:c>
      <x:c r="D36" s="37" t="str">
        <x:v>direct_communication</x:v>
      </x:c>
      <x:c r="E36" s="37" t="str">
        <x:v>직접 표현·협상</x:v>
      </x:c>
      <x:c r="F36" s="41" t="str">
        <x:v>성장·발전형이 위협받을 때, 나는 직접 표현·협상 전략을 사용하는 편입니다.</x:v>
      </x:c>
      <x:c r="G36" s="41" t="str">
        <x:v>당신은 관계를 통해 새로운 경험을 하고, 서로의 가능성을 넓히며 함께 발전하는 것을 중요하게 여깁니다. 관계가 반복되고 정체되거나 자신의 도전이 지지받지 못하면 둘의 방향이 달라지고 있다고 느낄 수 있습니다.</x:v>
      </x:c>
      <x:c r="H36" s="41" t="str">
        <x:v>함께하고 싶은 경험의 의미를 설명하고, 공동 목표와 각자의 목표를 구분해 조율하는 편입니다. 모든 활동과 성장을 함께해야 한다고 요구하지 않고 서로의 다른 관심과 속도도 인정해야 합니다.</x:v>
      </x:c>
      <x:c r="I36" s="41" t="str">
        <x:v>당신은 관계를 통해 새로운 경험을 하고, 서로의 가능성을 넓히며 함께 발전하는 것을 중요하게 여깁니다. 관계가 반복되고 정체되거나 자신의 도전이 지지받지 못하면 둘의 방향이 달라지고 있다고 느낄 수 있습니다.
함께하고 싶은 경험의 의미를 설명하고, 공동 목표와 각자의 목표를 구분해 조율하는 편입니다. 모든 활동과 성장을 함께해야 한다고 요구하지 않고 서로의 다른 관심과 속도도 인정해야 합니다.</x:v>
      </x:c>
      <x:c r="J36" s="32" t="str">
        <x:v>단점 대신 활용 시 주의점</x:v>
      </x:c>
    </x:row>
    <x:row r="37">
      <x:c r="A37" s="24" t="str">
        <x:v>SECURE</x:v>
      </x:c>
      <x:c r="B37" s="38" t="str">
        <x:v>secure_reappraisal</x:v>
      </x:c>
      <x:c r="C37" s="38" t="str">
        <x:v>유연한 재해석</x:v>
      </x:c>
      <x:c r="D37" s="38" t="str"/>
      <x:c r="E37" s="38" t="str"/>
      <x:c r="F37" s="42" t="str">
        <x:v>기대와 다른 행동도 유연하게 해석하는 편입니다.</x:v>
      </x:c>
      <x:c r="G37" s="42" t="str">
        <x:v>기대했던 행동이 나타나지 않더라도 곧바로 사랑이나 자기 가치의 부재로 단정하지 않는 편입니다. 상대의 상황과 표현 방식이 다를 가능성을 고려하면서, 필요한 욕구는 말로 조율할 수 있습니다.</x:v>
      </x:c>
      <x:c r="H37" s="42" t="str"/>
      <x:c r="I37" s="42" t="str">
        <x:v>기대했던 행동이 나타나지 않더라도 곧바로 사랑이나 자기 가치의 부재로 단정하지 않는 편입니다. 상대의 상황과 표현 방식이 다를 가능성을 고려하면서, 필요한 욕구는 말로 조율할 수 있습니다.</x:v>
      </x:c>
      <x:c r="J37" s="33" t="str">
        <x:v>유연한 재해석 75% 이상 또는 욕구 위협 반응 없음</x:v>
      </x:c>
    </x:row>
  </x:sheetData>
  <x:conditionalFormatting sqref="E2:E37">
    <x:cfRule type="expression" dxfId="0" priority="1">
      <x:formula>E2="직접 표현·협상"</x:formula>
    </x:cfRule>
  </x:conditionalFormatting>
  <x:conditionalFormatting sqref="A2:A37">
    <x:cfRule type="expression" dxfId="1" priority="2">
      <x:formula>A2="SECURE"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dc5028fe7d4cc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28" hidden="0" customWidth="1"/>
    <x:col min="4" max="4" width="42" hidden="0" customWidth="1"/>
    <x:col min="6" max="6" width="24" hidden="0" customWidth="1"/>
    <x:col min="7" max="7" width="28" hidden="0" customWidth="1"/>
    <x:col min="8" max="8" width="23" hidden="0" customWidth="1"/>
    <x:col min="9" max="9" width="43" hidden="0" customWidth="1"/>
  </x:cols>
  <x:sheetData>
    <x:row r="1">
      <x:c r="A1" s="5" t="str">
        <x:v>판정 규칙 및 코드 통합표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</x:row>
    <x:row r="4">
      <x:c r="A4" s="20" t="str">
        <x:v>원본 코드</x:v>
      </x:c>
      <x:c r="B4" s="36" t="str">
        <x:v>원본 의미</x:v>
      </x:c>
      <x:c r="C4" s="36" t="str">
        <x:v>7유형 처리</x:v>
      </x:c>
      <x:c r="D4" s="21" t="str">
        <x:v>비고</x:v>
      </x:c>
      <x:c r="F4" s="20" t="str">
        <x:v>전략코드</x:v>
      </x:c>
      <x:c r="G4" s="36" t="str">
        <x:v>대응전략</x:v>
      </x:c>
      <x:c r="H4" s="36" t="str">
        <x:v>점수</x:v>
      </x:c>
      <x:c r="I4" s="21" t="str">
        <x:v>결과 처리</x:v>
      </x:c>
    </x:row>
    <x:row r="5">
      <x:c r="A5" s="22" t="str">
        <x:v>safety</x:v>
      </x:c>
      <x:c r="B5" s="41" t="str">
        <x:v>관계 안정과 지속성</x:v>
      </x:c>
      <x:c r="C5" s="41" t="str">
        <x:v>안전성</x:v>
      </x:c>
      <x:c r="D5" s="32" t="str">
        <x:v>직접 대응</x:v>
      </x:c>
      <x:c r="F5" s="22" t="str">
        <x:v>protest_control</x:v>
      </x:c>
      <x:c r="G5" s="37" t="str">
        <x:v>반응 유도·통제</x:v>
      </x:c>
      <x:c r="H5" s="37" t="n">
        <x:v>4</x:v>
      </x:c>
      <x:c r="I5" s="23" t="str">
        <x:v>단점 제시</x:v>
      </x:c>
    </x:row>
    <x:row r="6">
      <x:c r="A6" s="22" t="str">
        <x:v>intimacy</x:v>
      </x:c>
      <x:c r="B6" s="41" t="str">
        <x:v>정서적 연결과 일상 공유</x:v>
      </x:c>
      <x:c r="C6" s="41" t="str">
        <x:v>소속감</x:v>
      </x:c>
      <x:c r="D6" s="32" t="str">
        <x:v>직접 대응</x:v>
      </x:c>
      <x:c r="F6" s="22" t="str">
        <x:v>reassurance_monitoring</x:v>
      </x:c>
      <x:c r="G6" s="37" t="str">
        <x:v>확인·감시</x:v>
      </x:c>
      <x:c r="H6" s="37" t="n">
        <x:v>4</x:v>
      </x:c>
      <x:c r="I6" s="23" t="str">
        <x:v>단점 제시</x:v>
      </x:c>
    </x:row>
    <x:row r="7">
      <x:c r="A7" s="22" t="str">
        <x:v>specialness</x:v>
      </x:c>
      <x:c r="B7" s="41" t="str">
        <x:v>우선적 선택과 대체 불가능성</x:v>
      </x:c>
      <x:c r="C7" s="41" t="str">
        <x:v>특별함</x:v>
      </x:c>
      <x:c r="D7" s="32" t="str">
        <x:v>직접 대응</x:v>
      </x:c>
      <x:c r="F7" s="22" t="str">
        <x:v>withdrawal_protection</x:v>
      </x:c>
      <x:c r="G7" s="37" t="str">
        <x:v>철수·거리두기</x:v>
      </x:c>
      <x:c r="H7" s="37" t="n">
        <x:v>4</x:v>
      </x:c>
      <x:c r="I7" s="23" t="str">
        <x:v>단점 제시</x:v>
      </x:c>
    </x:row>
    <x:row r="8">
      <x:c r="A8" s="22" t="str">
        <x:v>care</x:v>
      </x:c>
      <x:c r="B8" s="41" t="str">
        <x:v>관심·위로·실제적 돌봄</x:v>
      </x:c>
      <x:c r="C8" s="41" t="str">
        <x:v>보호자</x:v>
      </x:c>
      <x:c r="D8" s="32" t="str">
        <x:v>직접 대응</x:v>
      </x:c>
      <x:c r="F8" s="22" t="str">
        <x:v>overcompensation</x:v>
      </x:c>
      <x:c r="G8" s="37" t="str">
        <x:v>과잉보상·증명</x:v>
      </x:c>
      <x:c r="H8" s="37" t="n">
        <x:v>4</x:v>
      </x:c>
      <x:c r="I8" s="23" t="str">
        <x:v>단점 제시</x:v>
      </x:c>
    </x:row>
    <x:row r="9">
      <x:c r="A9" s="22" t="str">
        <x:v>autonomy</x:v>
      </x:c>
      <x:c r="B9" s="41" t="str">
        <x:v>선택권·경계·독립성</x:v>
      </x:c>
      <x:c r="C9" s="41" t="str">
        <x:v>독립심</x:v>
      </x:c>
      <x:c r="D9" s="32" t="str">
        <x:v>직접 대응</x:v>
      </x:c>
      <x:c r="F9" s="24" t="str">
        <x:v>direct_communication</x:v>
      </x:c>
      <x:c r="G9" s="38" t="str">
        <x:v>직접 표현·협상</x:v>
      </x:c>
      <x:c r="H9" s="38" t="n">
        <x:v>4</x:v>
      </x:c>
      <x:c r="I9" s="25" t="str">
        <x:v>단점 대신 주의점</x:v>
      </x:c>
    </x:row>
    <x:row r="10">
      <x:c r="A10" s="22" t="str">
        <x:v>competence</x:v>
      </x:c>
      <x:c r="B10" s="41" t="str">
        <x:v>판단·능력·기여</x:v>
      </x:c>
      <x:c r="C10" s="41" t="str">
        <x:v>유능함</x:v>
      </x:c>
      <x:c r="D10" s="32" t="str">
        <x:v>직접 대응</x:v>
      </x:c>
    </x:row>
    <x:row r="11">
      <x:c r="A11" s="22" t="str">
        <x:v>growth</x:v>
      </x:c>
      <x:c r="B11" s="41" t="str">
        <x:v>새 경험·확장·발전</x:v>
      </x:c>
      <x:c r="C11" s="41" t="str">
        <x:v>성장·발전형</x:v>
      </x:c>
      <x:c r="D11" s="32" t="str">
        <x:v>직접 대응</x:v>
      </x:c>
    </x:row>
    <x:row r="12">
      <x:c r="A12" s="24" t="str">
        <x:v>recognition</x:v>
      </x:c>
      <x:c r="B12" s="42" t="str">
        <x:v>인정·평가·가치 확인</x:v>
      </x:c>
      <x:c r="C12" s="42" t="str">
        <x:v>문맥별 통합</x:v>
      </x:c>
      <x:c r="D12" s="33" t="str">
        <x:v>특별함·유능함·독립심·보호자·성장형으로 재분류</x:v>
      </x:c>
    </x:row>
    <x:row r="15">
      <x:c r="A15" s="20" t="str">
        <x:v>7유형</x:v>
      </x:c>
      <x:c r="B15" s="36" t="str">
        <x:v>이론상 최대점수</x:v>
      </x:c>
      <x:c r="C15" s="36" t="str">
        <x:v>정규화식</x:v>
      </x:c>
      <x:c r="D15" s="21" t="str">
        <x:v>주의</x:v>
      </x:c>
      <x:c r="F15" s="20" t="str">
        <x:v>특수 규칙</x:v>
      </x:c>
      <x:c r="G15" s="36" t="str">
        <x:v>기준</x:v>
      </x:c>
      <x:c r="H15" s="36" t="str">
        <x:v>결과</x:v>
      </x:c>
      <x:c r="I15" s="21" t="str">
        <x:v>설명</x:v>
      </x:c>
    </x:row>
    <x:row r="16">
      <x:c r="A16" s="22" t="str">
        <x:v>안전성</x:v>
      </x:c>
      <x:c r="B16" s="37" t="n">
        <x:v>34</x:v>
      </x:c>
      <x:c r="C16" s="41" t="str">
        <x:v>원점수 ÷ 34 × 100</x:v>
      </x:c>
      <x:c r="D16" s="32" t="str"/>
      <x:c r="F16" s="53" t="str">
        <x:v>유연한 재해석</x:v>
      </x:c>
      <x:c r="G16" s="41" t="str">
        <x:v>재해석 점수 75% 이상</x:v>
      </x:c>
      <x:c r="H16" s="41" t="str">
        <x:v>SECURE</x:v>
      </x:c>
      <x:c r="I16" s="32" t="str">
        <x:v>특정 욕구·전략을 단정하지 않음</x:v>
      </x:c>
    </x:row>
    <x:row r="17">
      <x:c r="A17" s="22" t="str">
        <x:v>소속감</x:v>
      </x:c>
      <x:c r="B17" s="37" t="n">
        <x:v>23</x:v>
      </x:c>
      <x:c r="C17" s="41" t="str">
        <x:v>원점수 ÷ 23 × 100</x:v>
      </x:c>
      <x:c r="D17" s="32" t="str"/>
      <x:c r="F17" s="53" t="str">
        <x:v>욕구 위협 없음</x:v>
      </x:c>
      <x:c r="G17" s="41" t="str">
        <x:v>위협활성화 합계 0</x:v>
      </x:c>
      <x:c r="H17" s="41" t="str">
        <x:v>SECURE</x:v>
      </x:c>
      <x:c r="I17" s="32" t="str">
        <x:v>유연한 해석 결과 표시</x:v>
      </x:c>
    </x:row>
    <x:row r="18">
      <x:c r="A18" s="22" t="str">
        <x:v>특별함</x:v>
      </x:c>
      <x:c r="B18" s="37" t="n">
        <x:v>31</x:v>
      </x:c>
      <x:c r="C18" s="41" t="str">
        <x:v>원점수 ÷ 31 × 100</x:v>
      </x:c>
      <x:c r="D18" s="32" t="str"/>
      <x:c r="F18" s="53" t="str">
        <x:v>욕구 동점</x:v>
      </x:c>
      <x:c r="G18" s="41" t="str">
        <x:v>정규화 점수 차이 5%p 이하</x:v>
      </x:c>
      <x:c r="H18" s="41" t="str">
        <x:v>상위 2개 병기 권장</x:v>
      </x:c>
      <x:c r="I18" s="32" t="str">
        <x:v>계산기는 최상위 1개 우선</x:v>
      </x:c>
    </x:row>
    <x:row r="19">
      <x:c r="A19" s="22" t="str">
        <x:v>보호자</x:v>
      </x:c>
      <x:c r="B19" s="37" t="n">
        <x:v>10</x:v>
      </x:c>
      <x:c r="C19" s="41" t="str">
        <x:v>원점수 ÷ 10 × 100</x:v>
      </x:c>
      <x:c r="D19" s="32" t="str"/>
      <x:c r="F19" s="54" t="str">
        <x:v>전략 동점</x:v>
      </x:c>
      <x:c r="G19" s="42" t="str">
        <x:v>전략점수 동일</x:v>
      </x:c>
      <x:c r="H19" s="42" t="str">
        <x:v>상위 2개 병기 권장</x:v>
      </x:c>
      <x:c r="I19" s="33" t="str">
        <x:v>계산기는 먼저 등장한 전략 우선</x:v>
      </x:c>
    </x:row>
    <x:row r="20">
      <x:c r="A20" s="22" t="str">
        <x:v>독립심</x:v>
      </x:c>
      <x:c r="B20" s="37" t="n">
        <x:v>12</x:v>
      </x:c>
      <x:c r="C20" s="41" t="str">
        <x:v>원점수 ÷ 12 × 100</x:v>
      </x:c>
      <x:c r="D20" s="32" t="str"/>
    </x:row>
    <x:row r="21">
      <x:c r="A21" s="22" t="str">
        <x:v>유능함</x:v>
      </x:c>
      <x:c r="B21" s="37" t="n">
        <x:v>17</x:v>
      </x:c>
      <x:c r="C21" s="41" t="str">
        <x:v>원점수 ÷ 17 × 100</x:v>
      </x:c>
      <x:c r="D21" s="32" t="str"/>
    </x:row>
    <x:row r="22">
      <x:c r="A22" s="24" t="str">
        <x:v>성장·발전형</x:v>
      </x:c>
      <x:c r="B22" s="38" t="n">
        <x:v>4</x:v>
      </x:c>
      <x:c r="C22" s="42" t="str">
        <x:v>원점수 ÷ 4 × 100</x:v>
      </x:c>
      <x:c r="D22" s="33" t="str">
        <x:v>한 상황에 크게 의존하므로 탐색적 표시</x:v>
      </x:c>
    </x:row>
  </x:sheetData>
  <x:mergeCells>
    <x:mergeCell ref="A1:I2"/>
  </x:mergeCells>
  <x:pageMargins left="0.7" right="0.7" top="0.75" bottom="0.75" header="0.3" footer="0.3"/>
  <x:drawing xmlns:r="http://schemas.openxmlformats.org/officeDocument/2006/relationships" r:id="R38fec11fd82443fa"/>
</x:worksheet>
</file>